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anzg/Desktop/"/>
    </mc:Choice>
  </mc:AlternateContent>
  <bookViews>
    <workbookView xWindow="-100" yWindow="460" windowWidth="28800" windowHeight="17000"/>
  </bookViews>
  <sheets>
    <sheet name="Tokyo_Temperature_Stat_Graph" sheetId="3" r:id="rId1"/>
    <sheet name="Tokyo_Temperature_Data" sheetId="1" r:id="rId2"/>
    <sheet name="Stat" sheetId="2" r:id="rId3"/>
  </sheets>
  <definedNames>
    <definedName name="_xlnm._FilterDatabase" localSheetId="1" hidden="1">Tokyo_Temperature_Data!$A$2:$F$614</definedName>
    <definedName name="_xlnm._FilterDatabase" localSheetId="0" hidden="1">Tokyo_Temperature_Stat_Graph!$B$2:$G$614</definedName>
  </definedNames>
  <calcPr calcId="150001" concurrentCalc="0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53" i="3" l="1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" i="2"/>
</calcChain>
</file>

<file path=xl/sharedStrings.xml><?xml version="1.0" encoding="utf-8"?>
<sst xmlns="http://schemas.openxmlformats.org/spreadsheetml/2006/main" count="34" uniqueCount="15">
  <si>
    <t>東京</t>
  </si>
  <si>
    <t>年</t>
  </si>
  <si>
    <t>月</t>
  </si>
  <si>
    <t>平均気温(℃)</t>
  </si>
  <si>
    <t>最高気温(℃)</t>
  </si>
  <si>
    <t>最低気温(℃)</t>
  </si>
  <si>
    <t>降水量の合計(mm)</t>
  </si>
  <si>
    <t>合計 / 平均気温(℃)</t>
  </si>
  <si>
    <t>Column Labels</t>
  </si>
  <si>
    <t>Row Labels</t>
  </si>
  <si>
    <t>Grand Total</t>
  </si>
  <si>
    <t>年平均気温</t>
  </si>
  <si>
    <t>年降水量</t>
  </si>
  <si>
    <t>最低気温</t>
  </si>
  <si>
    <t>最高気温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</si>
</sst>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_ "/>
  </numFmts>
  <fonts count="20" x14ac:knownFonts="1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8"/>
      <color theme="3"/>
      <name val="Calibri Light"/>
      <family val="2"/>
      <charset val="128"/>
      <scheme val="major"/>
    </font>
    <font>
      <b/>
      <sz val="15"/>
      <color theme="3"/>
      <name val="Calibri"/>
      <family val="2"/>
      <charset val="128"/>
      <scheme val="minor"/>
    </font>
    <font>
      <b/>
      <sz val="13"/>
      <color theme="3"/>
      <name val="Calibri"/>
      <family val="2"/>
      <charset val="128"/>
      <scheme val="minor"/>
    </font>
    <font>
      <b/>
      <sz val="11"/>
      <color theme="3"/>
      <name val="Calibri"/>
      <family val="2"/>
      <charset val="128"/>
      <scheme val="minor"/>
    </font>
    <font>
      <sz val="11"/>
      <color rgb="FF006100"/>
      <name val="Calibri"/>
      <family val="2"/>
      <charset val="128"/>
      <scheme val="minor"/>
    </font>
    <font>
      <sz val="11"/>
      <color rgb="FF9C0006"/>
      <name val="Calibri"/>
      <family val="2"/>
      <charset val="128"/>
      <scheme val="minor"/>
    </font>
    <font>
      <sz val="11"/>
      <color rgb="FF9C5700"/>
      <name val="Calibri"/>
      <family val="2"/>
      <charset val="128"/>
      <scheme val="minor"/>
    </font>
    <font>
      <sz val="11"/>
      <color rgb="FF3F3F76"/>
      <name val="Calibri"/>
      <family val="2"/>
      <charset val="128"/>
      <scheme val="minor"/>
    </font>
    <font>
      <b/>
      <sz val="11"/>
      <color rgb="FF3F3F3F"/>
      <name val="Calibri"/>
      <family val="2"/>
      <charset val="128"/>
      <scheme val="minor"/>
    </font>
    <font>
      <b/>
      <sz val="11"/>
      <color rgb="FFFA7D00"/>
      <name val="Calibri"/>
      <family val="2"/>
      <charset val="128"/>
      <scheme val="minor"/>
    </font>
    <font>
      <sz val="11"/>
      <color rgb="FFFA7D00"/>
      <name val="Calibri"/>
      <family val="2"/>
      <charset val="128"/>
      <scheme val="minor"/>
    </font>
    <font>
      <b/>
      <sz val="11"/>
      <color theme="0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i/>
      <sz val="11"/>
      <color rgb="FF7F7F7F"/>
      <name val="Calibri"/>
      <family val="2"/>
      <charset val="128"/>
      <scheme val="minor"/>
    </font>
    <font>
      <b/>
      <sz val="11"/>
      <color theme="1"/>
      <name val="Calibri"/>
      <family val="2"/>
      <charset val="128"/>
      <scheme val="minor"/>
    </font>
    <font>
      <sz val="11"/>
      <color theme="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0"/>
      <color theme="1"/>
      <name val="Arial Unicode MS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64" fontId="0" fillId="0" borderId="0" xfId="0" applyNumberFormat="1" applyAlignment="1">
      <alignment horizontal="left" vertical="center"/>
    </xf>
    <xf numFmtId="164" fontId="0" fillId="0" borderId="0" xfId="0" applyNumberFormat="1">
      <alignment vertical="center"/>
    </xf>
    <xf numFmtId="0" fontId="19" fillId="0" borderId="0" xfId="0" applyFont="1">
      <alignment vertical="center"/>
    </xf>
    <xf numFmtId="0" fontId="0" fillId="0" borderId="10" xfId="0" applyBorder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pivotCacheDefinition" Target="pivotCache/pivotCacheDefinition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b="1"/>
              <a:t>年平均気温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Tokyo_Temperature_Stat_Graph!$K$2</c:f>
              <c:strCache>
                <c:ptCount val="1"/>
                <c:pt idx="0">
                  <c:v>年平均気温</c:v>
                </c:pt>
              </c:strCache>
            </c:strRef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trendline>
            <c:spPr>
              <a:ln w="63500" cap="rnd" cmpd="sng" algn="ctr">
                <a:solidFill>
                  <a:schemeClr val="accent1">
                    <a:alpha val="25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xVal>
            <c:numRef>
              <c:f>Tokyo_Temperature_Stat_Graph!$J$3:$J$53</c:f>
              <c:numCache>
                <c:formatCode>General</c:formatCode>
                <c:ptCount val="51"/>
                <c:pt idx="0">
                  <c:v>1962.0</c:v>
                </c:pt>
                <c:pt idx="1">
                  <c:v>1963.0</c:v>
                </c:pt>
                <c:pt idx="2">
                  <c:v>1964.0</c:v>
                </c:pt>
                <c:pt idx="3">
                  <c:v>1965.0</c:v>
                </c:pt>
                <c:pt idx="4">
                  <c:v>1966.0</c:v>
                </c:pt>
                <c:pt idx="5">
                  <c:v>1967.0</c:v>
                </c:pt>
                <c:pt idx="6">
                  <c:v>1968.0</c:v>
                </c:pt>
                <c:pt idx="7">
                  <c:v>1969.0</c:v>
                </c:pt>
                <c:pt idx="8">
                  <c:v>1970.0</c:v>
                </c:pt>
                <c:pt idx="9">
                  <c:v>1971.0</c:v>
                </c:pt>
                <c:pt idx="10">
                  <c:v>1972.0</c:v>
                </c:pt>
                <c:pt idx="11">
                  <c:v>1973.0</c:v>
                </c:pt>
                <c:pt idx="12">
                  <c:v>1974.0</c:v>
                </c:pt>
                <c:pt idx="13">
                  <c:v>1975.0</c:v>
                </c:pt>
                <c:pt idx="14">
                  <c:v>1976.0</c:v>
                </c:pt>
                <c:pt idx="15">
                  <c:v>1977.0</c:v>
                </c:pt>
                <c:pt idx="16">
                  <c:v>1978.0</c:v>
                </c:pt>
                <c:pt idx="17">
                  <c:v>1979.0</c:v>
                </c:pt>
                <c:pt idx="18">
                  <c:v>1980.0</c:v>
                </c:pt>
                <c:pt idx="19">
                  <c:v>1981.0</c:v>
                </c:pt>
                <c:pt idx="20">
                  <c:v>1982.0</c:v>
                </c:pt>
                <c:pt idx="21">
                  <c:v>1983.0</c:v>
                </c:pt>
                <c:pt idx="22">
                  <c:v>1984.0</c:v>
                </c:pt>
                <c:pt idx="23">
                  <c:v>1985.0</c:v>
                </c:pt>
                <c:pt idx="24">
                  <c:v>1986.0</c:v>
                </c:pt>
                <c:pt idx="25">
                  <c:v>1987.0</c:v>
                </c:pt>
                <c:pt idx="26">
                  <c:v>1988.0</c:v>
                </c:pt>
                <c:pt idx="27">
                  <c:v>1989.0</c:v>
                </c:pt>
                <c:pt idx="28">
                  <c:v>1990.0</c:v>
                </c:pt>
                <c:pt idx="29">
                  <c:v>1991.0</c:v>
                </c:pt>
                <c:pt idx="30">
                  <c:v>1992.0</c:v>
                </c:pt>
                <c:pt idx="31">
                  <c:v>1993.0</c:v>
                </c:pt>
                <c:pt idx="32">
                  <c:v>1994.0</c:v>
                </c:pt>
                <c:pt idx="33">
                  <c:v>1995.0</c:v>
                </c:pt>
                <c:pt idx="34">
                  <c:v>1996.0</c:v>
                </c:pt>
                <c:pt idx="35">
                  <c:v>1997.0</c:v>
                </c:pt>
                <c:pt idx="36">
                  <c:v>1998.0</c:v>
                </c:pt>
                <c:pt idx="37">
                  <c:v>1999.0</c:v>
                </c:pt>
                <c:pt idx="38">
                  <c:v>2000.0</c:v>
                </c:pt>
                <c:pt idx="39">
                  <c:v>2001.0</c:v>
                </c:pt>
                <c:pt idx="40">
                  <c:v>2002.0</c:v>
                </c:pt>
                <c:pt idx="41">
                  <c:v>2003.0</c:v>
                </c:pt>
                <c:pt idx="42">
                  <c:v>2004.0</c:v>
                </c:pt>
                <c:pt idx="43">
                  <c:v>2005.0</c:v>
                </c:pt>
                <c:pt idx="44">
                  <c:v>2006.0</c:v>
                </c:pt>
                <c:pt idx="45">
                  <c:v>2007.0</c:v>
                </c:pt>
                <c:pt idx="46">
                  <c:v>2008.0</c:v>
                </c:pt>
                <c:pt idx="47">
                  <c:v>2009.0</c:v>
                </c:pt>
                <c:pt idx="48">
                  <c:v>2010.0</c:v>
                </c:pt>
                <c:pt idx="49">
                  <c:v>2011.0</c:v>
                </c:pt>
                <c:pt idx="50">
                  <c:v>2012.0</c:v>
                </c:pt>
              </c:numCache>
            </c:numRef>
          </c:xVal>
          <c:yVal>
            <c:numRef>
              <c:f>Tokyo_Temperature_Stat_Graph!$K$3:$K$53</c:f>
              <c:numCache>
                <c:formatCode>General</c:formatCode>
                <c:ptCount val="51"/>
                <c:pt idx="0">
                  <c:v>15.44383561643836</c:v>
                </c:pt>
                <c:pt idx="1">
                  <c:v>15.04931506849315</c:v>
                </c:pt>
                <c:pt idx="2">
                  <c:v>15.31506849315068</c:v>
                </c:pt>
                <c:pt idx="3">
                  <c:v>14.69041095890411</c:v>
                </c:pt>
                <c:pt idx="4">
                  <c:v>15.53972602739726</c:v>
                </c:pt>
                <c:pt idx="5">
                  <c:v>15.80547945205479</c:v>
                </c:pt>
                <c:pt idx="6">
                  <c:v>15.68219178082192</c:v>
                </c:pt>
                <c:pt idx="7">
                  <c:v>15.68767123287671</c:v>
                </c:pt>
                <c:pt idx="8">
                  <c:v>15.24931506849315</c:v>
                </c:pt>
                <c:pt idx="9">
                  <c:v>15.08767123287671</c:v>
                </c:pt>
                <c:pt idx="10">
                  <c:v>15.78356164383562</c:v>
                </c:pt>
                <c:pt idx="11">
                  <c:v>15.7095890410959</c:v>
                </c:pt>
                <c:pt idx="12">
                  <c:v>15.24657534246575</c:v>
                </c:pt>
                <c:pt idx="13">
                  <c:v>15.63835616438356</c:v>
                </c:pt>
                <c:pt idx="14">
                  <c:v>15.07945205479452</c:v>
                </c:pt>
                <c:pt idx="15">
                  <c:v>15.87397260273973</c:v>
                </c:pt>
                <c:pt idx="16">
                  <c:v>16.13972602739726</c:v>
                </c:pt>
                <c:pt idx="17">
                  <c:v>16.92054794520548</c:v>
                </c:pt>
                <c:pt idx="18">
                  <c:v>15.42739726027397</c:v>
                </c:pt>
                <c:pt idx="19">
                  <c:v>15.07945205479452</c:v>
                </c:pt>
                <c:pt idx="20">
                  <c:v>16.03013698630137</c:v>
                </c:pt>
                <c:pt idx="21">
                  <c:v>15.76164383561644</c:v>
                </c:pt>
                <c:pt idx="22">
                  <c:v>14.9972602739726</c:v>
                </c:pt>
                <c:pt idx="23">
                  <c:v>15.7041095890411</c:v>
                </c:pt>
                <c:pt idx="24">
                  <c:v>15.21095890410959</c:v>
                </c:pt>
                <c:pt idx="25">
                  <c:v>16.31506849315068</c:v>
                </c:pt>
                <c:pt idx="26">
                  <c:v>15.5041095890411</c:v>
                </c:pt>
                <c:pt idx="27">
                  <c:v>16.41917808219178</c:v>
                </c:pt>
                <c:pt idx="28">
                  <c:v>17.06575342465753</c:v>
                </c:pt>
                <c:pt idx="29">
                  <c:v>16.42739726027397</c:v>
                </c:pt>
                <c:pt idx="30">
                  <c:v>16.04383561643836</c:v>
                </c:pt>
                <c:pt idx="31">
                  <c:v>15.54520547945205</c:v>
                </c:pt>
                <c:pt idx="32">
                  <c:v>16.93424657534247</c:v>
                </c:pt>
                <c:pt idx="33">
                  <c:v>16.36164383561644</c:v>
                </c:pt>
                <c:pt idx="34">
                  <c:v>15.87397260273973</c:v>
                </c:pt>
                <c:pt idx="35">
                  <c:v>16.73150684931507</c:v>
                </c:pt>
                <c:pt idx="36">
                  <c:v>16.77260273972603</c:v>
                </c:pt>
                <c:pt idx="37">
                  <c:v>17.09041095890411</c:v>
                </c:pt>
                <c:pt idx="38">
                  <c:v>16.92328767123288</c:v>
                </c:pt>
                <c:pt idx="39">
                  <c:v>16.54794520547945</c:v>
                </c:pt>
                <c:pt idx="40">
                  <c:v>16.76438356164384</c:v>
                </c:pt>
                <c:pt idx="41">
                  <c:v>16.05205479452055</c:v>
                </c:pt>
                <c:pt idx="42">
                  <c:v>17.38356164383562</c:v>
                </c:pt>
                <c:pt idx="43">
                  <c:v>16.26849315068493</c:v>
                </c:pt>
                <c:pt idx="44">
                  <c:v>16.44931506849315</c:v>
                </c:pt>
                <c:pt idx="45">
                  <c:v>17.01369863013699</c:v>
                </c:pt>
                <c:pt idx="46">
                  <c:v>16.49315068493151</c:v>
                </c:pt>
                <c:pt idx="47">
                  <c:v>16.74246575342466</c:v>
                </c:pt>
                <c:pt idx="48">
                  <c:v>16.94794520547945</c:v>
                </c:pt>
                <c:pt idx="49">
                  <c:v>16.53150684931507</c:v>
                </c:pt>
                <c:pt idx="50">
                  <c:v>16.36438356164384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77870656"/>
        <c:axId val="-1876519424"/>
      </c:scatterChart>
      <c:valAx>
        <c:axId val="-187787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76519424"/>
        <c:crosses val="autoZero"/>
        <c:crossBetween val="midCat"/>
      </c:valAx>
      <c:valAx>
        <c:axId val="-187651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77870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b="1">
                <a:effectLst/>
              </a:rPr>
              <a:t>年降水量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Tokyo_Temperature_Stat_Graph!$N$2</c:f>
              <c:strCache>
                <c:ptCount val="1"/>
                <c:pt idx="0">
                  <c:v>年降水量</c:v>
                </c:pt>
              </c:strCache>
            </c:strRef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trendline>
            <c:spPr>
              <a:ln w="63500" cap="rnd" cmpd="sng" algn="ctr">
                <a:solidFill>
                  <a:schemeClr val="accent1">
                    <a:alpha val="25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xVal>
            <c:numRef>
              <c:f>Tokyo_Temperature_Stat_Graph!$J$3:$J$53</c:f>
              <c:numCache>
                <c:formatCode>General</c:formatCode>
                <c:ptCount val="51"/>
                <c:pt idx="0">
                  <c:v>1962.0</c:v>
                </c:pt>
                <c:pt idx="1">
                  <c:v>1963.0</c:v>
                </c:pt>
                <c:pt idx="2">
                  <c:v>1964.0</c:v>
                </c:pt>
                <c:pt idx="3">
                  <c:v>1965.0</c:v>
                </c:pt>
                <c:pt idx="4">
                  <c:v>1966.0</c:v>
                </c:pt>
                <c:pt idx="5">
                  <c:v>1967.0</c:v>
                </c:pt>
                <c:pt idx="6">
                  <c:v>1968.0</c:v>
                </c:pt>
                <c:pt idx="7">
                  <c:v>1969.0</c:v>
                </c:pt>
                <c:pt idx="8">
                  <c:v>1970.0</c:v>
                </c:pt>
                <c:pt idx="9">
                  <c:v>1971.0</c:v>
                </c:pt>
                <c:pt idx="10">
                  <c:v>1972.0</c:v>
                </c:pt>
                <c:pt idx="11">
                  <c:v>1973.0</c:v>
                </c:pt>
                <c:pt idx="12">
                  <c:v>1974.0</c:v>
                </c:pt>
                <c:pt idx="13">
                  <c:v>1975.0</c:v>
                </c:pt>
                <c:pt idx="14">
                  <c:v>1976.0</c:v>
                </c:pt>
                <c:pt idx="15">
                  <c:v>1977.0</c:v>
                </c:pt>
                <c:pt idx="16">
                  <c:v>1978.0</c:v>
                </c:pt>
                <c:pt idx="17">
                  <c:v>1979.0</c:v>
                </c:pt>
                <c:pt idx="18">
                  <c:v>1980.0</c:v>
                </c:pt>
                <c:pt idx="19">
                  <c:v>1981.0</c:v>
                </c:pt>
                <c:pt idx="20">
                  <c:v>1982.0</c:v>
                </c:pt>
                <c:pt idx="21">
                  <c:v>1983.0</c:v>
                </c:pt>
                <c:pt idx="22">
                  <c:v>1984.0</c:v>
                </c:pt>
                <c:pt idx="23">
                  <c:v>1985.0</c:v>
                </c:pt>
                <c:pt idx="24">
                  <c:v>1986.0</c:v>
                </c:pt>
                <c:pt idx="25">
                  <c:v>1987.0</c:v>
                </c:pt>
                <c:pt idx="26">
                  <c:v>1988.0</c:v>
                </c:pt>
                <c:pt idx="27">
                  <c:v>1989.0</c:v>
                </c:pt>
                <c:pt idx="28">
                  <c:v>1990.0</c:v>
                </c:pt>
                <c:pt idx="29">
                  <c:v>1991.0</c:v>
                </c:pt>
                <c:pt idx="30">
                  <c:v>1992.0</c:v>
                </c:pt>
                <c:pt idx="31">
                  <c:v>1993.0</c:v>
                </c:pt>
                <c:pt idx="32">
                  <c:v>1994.0</c:v>
                </c:pt>
                <c:pt idx="33">
                  <c:v>1995.0</c:v>
                </c:pt>
                <c:pt idx="34">
                  <c:v>1996.0</c:v>
                </c:pt>
                <c:pt idx="35">
                  <c:v>1997.0</c:v>
                </c:pt>
                <c:pt idx="36">
                  <c:v>1998.0</c:v>
                </c:pt>
                <c:pt idx="37">
                  <c:v>1999.0</c:v>
                </c:pt>
                <c:pt idx="38">
                  <c:v>2000.0</c:v>
                </c:pt>
                <c:pt idx="39">
                  <c:v>2001.0</c:v>
                </c:pt>
                <c:pt idx="40">
                  <c:v>2002.0</c:v>
                </c:pt>
                <c:pt idx="41">
                  <c:v>2003.0</c:v>
                </c:pt>
                <c:pt idx="42">
                  <c:v>2004.0</c:v>
                </c:pt>
                <c:pt idx="43">
                  <c:v>2005.0</c:v>
                </c:pt>
                <c:pt idx="44">
                  <c:v>2006.0</c:v>
                </c:pt>
                <c:pt idx="45">
                  <c:v>2007.0</c:v>
                </c:pt>
                <c:pt idx="46">
                  <c:v>2008.0</c:v>
                </c:pt>
                <c:pt idx="47">
                  <c:v>2009.0</c:v>
                </c:pt>
                <c:pt idx="48">
                  <c:v>2010.0</c:v>
                </c:pt>
                <c:pt idx="49">
                  <c:v>2011.0</c:v>
                </c:pt>
                <c:pt idx="50">
                  <c:v>2012.0</c:v>
                </c:pt>
              </c:numCache>
            </c:numRef>
          </c:xVal>
          <c:yVal>
            <c:numRef>
              <c:f>Tokyo_Temperature_Stat_Graph!$N$3:$N$53</c:f>
              <c:numCache>
                <c:formatCode>General</c:formatCode>
                <c:ptCount val="51"/>
                <c:pt idx="0">
                  <c:v>1256.2</c:v>
                </c:pt>
                <c:pt idx="1">
                  <c:v>1719.6</c:v>
                </c:pt>
                <c:pt idx="2">
                  <c:v>1188.2</c:v>
                </c:pt>
                <c:pt idx="3">
                  <c:v>1619.6</c:v>
                </c:pt>
                <c:pt idx="4">
                  <c:v>1675.7</c:v>
                </c:pt>
                <c:pt idx="5">
                  <c:v>1032.8</c:v>
                </c:pt>
                <c:pt idx="6">
                  <c:v>1545.5</c:v>
                </c:pt>
                <c:pt idx="7">
                  <c:v>1401.5</c:v>
                </c:pt>
                <c:pt idx="8">
                  <c:v>1154.0</c:v>
                </c:pt>
                <c:pt idx="9">
                  <c:v>1552.0</c:v>
                </c:pt>
                <c:pt idx="10">
                  <c:v>1763.5</c:v>
                </c:pt>
                <c:pt idx="11">
                  <c:v>1178.5</c:v>
                </c:pt>
                <c:pt idx="12">
                  <c:v>1648.0</c:v>
                </c:pt>
                <c:pt idx="13">
                  <c:v>1541.0</c:v>
                </c:pt>
                <c:pt idx="14">
                  <c:v>1577.0</c:v>
                </c:pt>
                <c:pt idx="15">
                  <c:v>1482.0</c:v>
                </c:pt>
                <c:pt idx="16">
                  <c:v>1089.0</c:v>
                </c:pt>
                <c:pt idx="17">
                  <c:v>1542.0</c:v>
                </c:pt>
                <c:pt idx="18">
                  <c:v>1581.0</c:v>
                </c:pt>
                <c:pt idx="19">
                  <c:v>1496.0</c:v>
                </c:pt>
                <c:pt idx="20">
                  <c:v>1605.0</c:v>
                </c:pt>
                <c:pt idx="21">
                  <c:v>1390.5</c:v>
                </c:pt>
                <c:pt idx="22">
                  <c:v>884.0</c:v>
                </c:pt>
                <c:pt idx="23">
                  <c:v>1531.5</c:v>
                </c:pt>
                <c:pt idx="24">
                  <c:v>1496.0</c:v>
                </c:pt>
                <c:pt idx="25">
                  <c:v>1117.0</c:v>
                </c:pt>
                <c:pt idx="26">
                  <c:v>1610.5</c:v>
                </c:pt>
                <c:pt idx="27">
                  <c:v>1970.0</c:v>
                </c:pt>
                <c:pt idx="28">
                  <c:v>1567.5</c:v>
                </c:pt>
                <c:pt idx="29">
                  <c:v>2092.0</c:v>
                </c:pt>
                <c:pt idx="30">
                  <c:v>1734.5</c:v>
                </c:pt>
                <c:pt idx="31">
                  <c:v>1922.5</c:v>
                </c:pt>
                <c:pt idx="32">
                  <c:v>1167.5</c:v>
                </c:pt>
                <c:pt idx="33">
                  <c:v>1233.0</c:v>
                </c:pt>
                <c:pt idx="34">
                  <c:v>1362.5</c:v>
                </c:pt>
                <c:pt idx="35">
                  <c:v>1424.0</c:v>
                </c:pt>
                <c:pt idx="36">
                  <c:v>1566.0</c:v>
                </c:pt>
                <c:pt idx="37">
                  <c:v>1688.5</c:v>
                </c:pt>
                <c:pt idx="38">
                  <c:v>1729.5</c:v>
                </c:pt>
                <c:pt idx="39">
                  <c:v>1589.5</c:v>
                </c:pt>
                <c:pt idx="40">
                  <c:v>1395.5</c:v>
                </c:pt>
                <c:pt idx="41">
                  <c:v>1857.5</c:v>
                </c:pt>
                <c:pt idx="42">
                  <c:v>1827.0</c:v>
                </c:pt>
                <c:pt idx="43">
                  <c:v>1549.0</c:v>
                </c:pt>
                <c:pt idx="44">
                  <c:v>1782.0</c:v>
                </c:pt>
                <c:pt idx="45">
                  <c:v>1349.5</c:v>
                </c:pt>
                <c:pt idx="46">
                  <c:v>1999.5</c:v>
                </c:pt>
                <c:pt idx="47">
                  <c:v>1810.5</c:v>
                </c:pt>
                <c:pt idx="48">
                  <c:v>1683.0</c:v>
                </c:pt>
                <c:pt idx="49">
                  <c:v>1529.5</c:v>
                </c:pt>
                <c:pt idx="50">
                  <c:v>1570.0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74218032"/>
        <c:axId val="-1873613968"/>
      </c:scatterChart>
      <c:valAx>
        <c:axId val="-1874218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73613968"/>
        <c:crosses val="autoZero"/>
        <c:crossBetween val="midCat"/>
      </c:valAx>
      <c:valAx>
        <c:axId val="-187361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74218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b="1"/>
              <a:t>最低気温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Tokyo_Temperature_Stat_Graph!$M$2</c:f>
              <c:strCache>
                <c:ptCount val="1"/>
                <c:pt idx="0">
                  <c:v>最低気温</c:v>
                </c:pt>
              </c:strCache>
            </c:strRef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trendline>
            <c:spPr>
              <a:ln w="63500" cap="rnd" cmpd="sng" algn="ctr">
                <a:solidFill>
                  <a:schemeClr val="accent1">
                    <a:alpha val="25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xVal>
            <c:numRef>
              <c:f>Tokyo_Temperature_Stat_Graph!$J$3:$J$53</c:f>
              <c:numCache>
                <c:formatCode>General</c:formatCode>
                <c:ptCount val="51"/>
                <c:pt idx="0">
                  <c:v>1962.0</c:v>
                </c:pt>
                <c:pt idx="1">
                  <c:v>1963.0</c:v>
                </c:pt>
                <c:pt idx="2">
                  <c:v>1964.0</c:v>
                </c:pt>
                <c:pt idx="3">
                  <c:v>1965.0</c:v>
                </c:pt>
                <c:pt idx="4">
                  <c:v>1966.0</c:v>
                </c:pt>
                <c:pt idx="5">
                  <c:v>1967.0</c:v>
                </c:pt>
                <c:pt idx="6">
                  <c:v>1968.0</c:v>
                </c:pt>
                <c:pt idx="7">
                  <c:v>1969.0</c:v>
                </c:pt>
                <c:pt idx="8">
                  <c:v>1970.0</c:v>
                </c:pt>
                <c:pt idx="9">
                  <c:v>1971.0</c:v>
                </c:pt>
                <c:pt idx="10">
                  <c:v>1972.0</c:v>
                </c:pt>
                <c:pt idx="11">
                  <c:v>1973.0</c:v>
                </c:pt>
                <c:pt idx="12">
                  <c:v>1974.0</c:v>
                </c:pt>
                <c:pt idx="13">
                  <c:v>1975.0</c:v>
                </c:pt>
                <c:pt idx="14">
                  <c:v>1976.0</c:v>
                </c:pt>
                <c:pt idx="15">
                  <c:v>1977.0</c:v>
                </c:pt>
                <c:pt idx="16">
                  <c:v>1978.0</c:v>
                </c:pt>
                <c:pt idx="17">
                  <c:v>1979.0</c:v>
                </c:pt>
                <c:pt idx="18">
                  <c:v>1980.0</c:v>
                </c:pt>
                <c:pt idx="19">
                  <c:v>1981.0</c:v>
                </c:pt>
                <c:pt idx="20">
                  <c:v>1982.0</c:v>
                </c:pt>
                <c:pt idx="21">
                  <c:v>1983.0</c:v>
                </c:pt>
                <c:pt idx="22">
                  <c:v>1984.0</c:v>
                </c:pt>
                <c:pt idx="23">
                  <c:v>1985.0</c:v>
                </c:pt>
                <c:pt idx="24">
                  <c:v>1986.0</c:v>
                </c:pt>
                <c:pt idx="25">
                  <c:v>1987.0</c:v>
                </c:pt>
                <c:pt idx="26">
                  <c:v>1988.0</c:v>
                </c:pt>
                <c:pt idx="27">
                  <c:v>1989.0</c:v>
                </c:pt>
                <c:pt idx="28">
                  <c:v>1990.0</c:v>
                </c:pt>
                <c:pt idx="29">
                  <c:v>1991.0</c:v>
                </c:pt>
                <c:pt idx="30">
                  <c:v>1992.0</c:v>
                </c:pt>
                <c:pt idx="31">
                  <c:v>1993.0</c:v>
                </c:pt>
                <c:pt idx="32">
                  <c:v>1994.0</c:v>
                </c:pt>
                <c:pt idx="33">
                  <c:v>1995.0</c:v>
                </c:pt>
                <c:pt idx="34">
                  <c:v>1996.0</c:v>
                </c:pt>
                <c:pt idx="35">
                  <c:v>1997.0</c:v>
                </c:pt>
                <c:pt idx="36">
                  <c:v>1998.0</c:v>
                </c:pt>
                <c:pt idx="37">
                  <c:v>1999.0</c:v>
                </c:pt>
                <c:pt idx="38">
                  <c:v>2000.0</c:v>
                </c:pt>
                <c:pt idx="39">
                  <c:v>2001.0</c:v>
                </c:pt>
                <c:pt idx="40">
                  <c:v>2002.0</c:v>
                </c:pt>
                <c:pt idx="41">
                  <c:v>2003.0</c:v>
                </c:pt>
                <c:pt idx="42">
                  <c:v>2004.0</c:v>
                </c:pt>
                <c:pt idx="43">
                  <c:v>2005.0</c:v>
                </c:pt>
                <c:pt idx="44">
                  <c:v>2006.0</c:v>
                </c:pt>
                <c:pt idx="45">
                  <c:v>2007.0</c:v>
                </c:pt>
                <c:pt idx="46">
                  <c:v>2008.0</c:v>
                </c:pt>
                <c:pt idx="47">
                  <c:v>2009.0</c:v>
                </c:pt>
                <c:pt idx="48">
                  <c:v>2010.0</c:v>
                </c:pt>
                <c:pt idx="49">
                  <c:v>2011.0</c:v>
                </c:pt>
                <c:pt idx="50">
                  <c:v>2012.0</c:v>
                </c:pt>
              </c:numCache>
            </c:numRef>
          </c:xVal>
          <c:yVal>
            <c:numRef>
              <c:f>Tokyo_Temperature_Stat_Graph!$M$3:$M$53</c:f>
              <c:numCache>
                <c:formatCode>General</c:formatCode>
                <c:ptCount val="51"/>
                <c:pt idx="0">
                  <c:v>-5.5</c:v>
                </c:pt>
                <c:pt idx="1">
                  <c:v>-5.5</c:v>
                </c:pt>
                <c:pt idx="2">
                  <c:v>-3.3</c:v>
                </c:pt>
                <c:pt idx="3">
                  <c:v>-4.7</c:v>
                </c:pt>
                <c:pt idx="4">
                  <c:v>-3.6</c:v>
                </c:pt>
                <c:pt idx="5">
                  <c:v>-4.0</c:v>
                </c:pt>
                <c:pt idx="6">
                  <c:v>-2.9</c:v>
                </c:pt>
                <c:pt idx="7">
                  <c:v>-4.0</c:v>
                </c:pt>
                <c:pt idx="8">
                  <c:v>-4.0</c:v>
                </c:pt>
                <c:pt idx="9">
                  <c:v>-2.2</c:v>
                </c:pt>
                <c:pt idx="10">
                  <c:v>-2.1</c:v>
                </c:pt>
                <c:pt idx="11">
                  <c:v>-2.0</c:v>
                </c:pt>
                <c:pt idx="12">
                  <c:v>-2.7</c:v>
                </c:pt>
                <c:pt idx="13">
                  <c:v>-3.9</c:v>
                </c:pt>
                <c:pt idx="14">
                  <c:v>-3.9</c:v>
                </c:pt>
                <c:pt idx="15">
                  <c:v>-3.8</c:v>
                </c:pt>
                <c:pt idx="16">
                  <c:v>-2.0</c:v>
                </c:pt>
                <c:pt idx="17">
                  <c:v>-1.1</c:v>
                </c:pt>
                <c:pt idx="18">
                  <c:v>-2.2</c:v>
                </c:pt>
                <c:pt idx="19">
                  <c:v>-3.5</c:v>
                </c:pt>
                <c:pt idx="20">
                  <c:v>-2.4</c:v>
                </c:pt>
                <c:pt idx="21">
                  <c:v>-2.5</c:v>
                </c:pt>
                <c:pt idx="22">
                  <c:v>-3.5</c:v>
                </c:pt>
                <c:pt idx="23">
                  <c:v>-2.5</c:v>
                </c:pt>
                <c:pt idx="24">
                  <c:v>-1.6</c:v>
                </c:pt>
                <c:pt idx="25">
                  <c:v>-0.7</c:v>
                </c:pt>
                <c:pt idx="26">
                  <c:v>-1.7</c:v>
                </c:pt>
                <c:pt idx="27">
                  <c:v>-1.4</c:v>
                </c:pt>
                <c:pt idx="28">
                  <c:v>-1.4</c:v>
                </c:pt>
                <c:pt idx="29">
                  <c:v>-0.8</c:v>
                </c:pt>
                <c:pt idx="30">
                  <c:v>-0.5</c:v>
                </c:pt>
                <c:pt idx="31">
                  <c:v>-1.3</c:v>
                </c:pt>
                <c:pt idx="32">
                  <c:v>-2.3</c:v>
                </c:pt>
                <c:pt idx="33">
                  <c:v>-1.2</c:v>
                </c:pt>
                <c:pt idx="34">
                  <c:v>-2.1</c:v>
                </c:pt>
                <c:pt idx="35">
                  <c:v>-2.1</c:v>
                </c:pt>
                <c:pt idx="36">
                  <c:v>-0.9</c:v>
                </c:pt>
                <c:pt idx="37">
                  <c:v>-1.4</c:v>
                </c:pt>
                <c:pt idx="38">
                  <c:v>-2.4</c:v>
                </c:pt>
                <c:pt idx="39">
                  <c:v>-2.4</c:v>
                </c:pt>
                <c:pt idx="40">
                  <c:v>-0.8</c:v>
                </c:pt>
                <c:pt idx="41">
                  <c:v>-0.8</c:v>
                </c:pt>
                <c:pt idx="42">
                  <c:v>-0.8</c:v>
                </c:pt>
                <c:pt idx="43">
                  <c:v>-1.1</c:v>
                </c:pt>
                <c:pt idx="44">
                  <c:v>-1.5</c:v>
                </c:pt>
                <c:pt idx="45">
                  <c:v>0.2</c:v>
                </c:pt>
                <c:pt idx="46">
                  <c:v>-0.1</c:v>
                </c:pt>
                <c:pt idx="47">
                  <c:v>-0.3</c:v>
                </c:pt>
                <c:pt idx="48">
                  <c:v>-1.1</c:v>
                </c:pt>
                <c:pt idx="49">
                  <c:v>-1.1</c:v>
                </c:pt>
                <c:pt idx="50">
                  <c:v>-1.0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74114800"/>
        <c:axId val="-1874360880"/>
      </c:scatterChart>
      <c:valAx>
        <c:axId val="-1874114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74360880"/>
        <c:crosses val="autoZero"/>
        <c:crossBetween val="midCat"/>
      </c:valAx>
      <c:valAx>
        <c:axId val="-187436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74114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b="1"/>
              <a:t>最高気温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Tokyo_Temperature_Stat_Graph!$L$2</c:f>
              <c:strCache>
                <c:ptCount val="1"/>
                <c:pt idx="0">
                  <c:v>最高気温</c:v>
                </c:pt>
              </c:strCache>
            </c:strRef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trendline>
            <c:spPr>
              <a:ln w="63500" cap="rnd" cmpd="sng" algn="ctr">
                <a:solidFill>
                  <a:schemeClr val="accent1">
                    <a:alpha val="25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xVal>
            <c:numRef>
              <c:f>Tokyo_Temperature_Stat_Graph!$J$3:$J$53</c:f>
              <c:numCache>
                <c:formatCode>General</c:formatCode>
                <c:ptCount val="51"/>
                <c:pt idx="0">
                  <c:v>1962.0</c:v>
                </c:pt>
                <c:pt idx="1">
                  <c:v>1963.0</c:v>
                </c:pt>
                <c:pt idx="2">
                  <c:v>1964.0</c:v>
                </c:pt>
                <c:pt idx="3">
                  <c:v>1965.0</c:v>
                </c:pt>
                <c:pt idx="4">
                  <c:v>1966.0</c:v>
                </c:pt>
                <c:pt idx="5">
                  <c:v>1967.0</c:v>
                </c:pt>
                <c:pt idx="6">
                  <c:v>1968.0</c:v>
                </c:pt>
                <c:pt idx="7">
                  <c:v>1969.0</c:v>
                </c:pt>
                <c:pt idx="8">
                  <c:v>1970.0</c:v>
                </c:pt>
                <c:pt idx="9">
                  <c:v>1971.0</c:v>
                </c:pt>
                <c:pt idx="10">
                  <c:v>1972.0</c:v>
                </c:pt>
                <c:pt idx="11">
                  <c:v>1973.0</c:v>
                </c:pt>
                <c:pt idx="12">
                  <c:v>1974.0</c:v>
                </c:pt>
                <c:pt idx="13">
                  <c:v>1975.0</c:v>
                </c:pt>
                <c:pt idx="14">
                  <c:v>1976.0</c:v>
                </c:pt>
                <c:pt idx="15">
                  <c:v>1977.0</c:v>
                </c:pt>
                <c:pt idx="16">
                  <c:v>1978.0</c:v>
                </c:pt>
                <c:pt idx="17">
                  <c:v>1979.0</c:v>
                </c:pt>
                <c:pt idx="18">
                  <c:v>1980.0</c:v>
                </c:pt>
                <c:pt idx="19">
                  <c:v>1981.0</c:v>
                </c:pt>
                <c:pt idx="20">
                  <c:v>1982.0</c:v>
                </c:pt>
                <c:pt idx="21">
                  <c:v>1983.0</c:v>
                </c:pt>
                <c:pt idx="22">
                  <c:v>1984.0</c:v>
                </c:pt>
                <c:pt idx="23">
                  <c:v>1985.0</c:v>
                </c:pt>
                <c:pt idx="24">
                  <c:v>1986.0</c:v>
                </c:pt>
                <c:pt idx="25">
                  <c:v>1987.0</c:v>
                </c:pt>
                <c:pt idx="26">
                  <c:v>1988.0</c:v>
                </c:pt>
                <c:pt idx="27">
                  <c:v>1989.0</c:v>
                </c:pt>
                <c:pt idx="28">
                  <c:v>1990.0</c:v>
                </c:pt>
                <c:pt idx="29">
                  <c:v>1991.0</c:v>
                </c:pt>
                <c:pt idx="30">
                  <c:v>1992.0</c:v>
                </c:pt>
                <c:pt idx="31">
                  <c:v>1993.0</c:v>
                </c:pt>
                <c:pt idx="32">
                  <c:v>1994.0</c:v>
                </c:pt>
                <c:pt idx="33">
                  <c:v>1995.0</c:v>
                </c:pt>
                <c:pt idx="34">
                  <c:v>1996.0</c:v>
                </c:pt>
                <c:pt idx="35">
                  <c:v>1997.0</c:v>
                </c:pt>
                <c:pt idx="36">
                  <c:v>1998.0</c:v>
                </c:pt>
                <c:pt idx="37">
                  <c:v>1999.0</c:v>
                </c:pt>
                <c:pt idx="38">
                  <c:v>2000.0</c:v>
                </c:pt>
                <c:pt idx="39">
                  <c:v>2001.0</c:v>
                </c:pt>
                <c:pt idx="40">
                  <c:v>2002.0</c:v>
                </c:pt>
                <c:pt idx="41">
                  <c:v>2003.0</c:v>
                </c:pt>
                <c:pt idx="42">
                  <c:v>2004.0</c:v>
                </c:pt>
                <c:pt idx="43">
                  <c:v>2005.0</c:v>
                </c:pt>
                <c:pt idx="44">
                  <c:v>2006.0</c:v>
                </c:pt>
                <c:pt idx="45">
                  <c:v>2007.0</c:v>
                </c:pt>
                <c:pt idx="46">
                  <c:v>2008.0</c:v>
                </c:pt>
                <c:pt idx="47">
                  <c:v>2009.0</c:v>
                </c:pt>
                <c:pt idx="48">
                  <c:v>2010.0</c:v>
                </c:pt>
                <c:pt idx="49">
                  <c:v>2011.0</c:v>
                </c:pt>
                <c:pt idx="50">
                  <c:v>2012.0</c:v>
                </c:pt>
              </c:numCache>
            </c:numRef>
          </c:xVal>
          <c:yVal>
            <c:numRef>
              <c:f>Tokyo_Temperature_Stat_Graph!$L$3:$L$53</c:f>
              <c:numCache>
                <c:formatCode>General</c:formatCode>
                <c:ptCount val="51"/>
                <c:pt idx="0">
                  <c:v>37.6</c:v>
                </c:pt>
                <c:pt idx="1">
                  <c:v>37.2</c:v>
                </c:pt>
                <c:pt idx="2">
                  <c:v>35.2</c:v>
                </c:pt>
                <c:pt idx="3">
                  <c:v>35.0</c:v>
                </c:pt>
                <c:pt idx="4">
                  <c:v>34.9</c:v>
                </c:pt>
                <c:pt idx="5">
                  <c:v>37.2</c:v>
                </c:pt>
                <c:pt idx="6">
                  <c:v>33.5</c:v>
                </c:pt>
                <c:pt idx="7">
                  <c:v>36.6</c:v>
                </c:pt>
                <c:pt idx="8">
                  <c:v>35.5</c:v>
                </c:pt>
                <c:pt idx="9">
                  <c:v>34.4</c:v>
                </c:pt>
                <c:pt idx="10">
                  <c:v>35.2</c:v>
                </c:pt>
                <c:pt idx="11">
                  <c:v>34.7</c:v>
                </c:pt>
                <c:pt idx="12">
                  <c:v>34.2</c:v>
                </c:pt>
                <c:pt idx="13">
                  <c:v>35.6</c:v>
                </c:pt>
                <c:pt idx="14">
                  <c:v>35.4</c:v>
                </c:pt>
                <c:pt idx="15">
                  <c:v>34.9</c:v>
                </c:pt>
                <c:pt idx="16">
                  <c:v>36.3</c:v>
                </c:pt>
                <c:pt idx="17">
                  <c:v>34.3</c:v>
                </c:pt>
                <c:pt idx="18">
                  <c:v>33.0</c:v>
                </c:pt>
                <c:pt idx="19">
                  <c:v>34.3</c:v>
                </c:pt>
                <c:pt idx="20">
                  <c:v>33.0</c:v>
                </c:pt>
                <c:pt idx="21">
                  <c:v>37.1</c:v>
                </c:pt>
                <c:pt idx="22">
                  <c:v>38.1</c:v>
                </c:pt>
                <c:pt idx="23">
                  <c:v>35.0</c:v>
                </c:pt>
                <c:pt idx="24">
                  <c:v>34.6</c:v>
                </c:pt>
                <c:pt idx="25">
                  <c:v>37.3</c:v>
                </c:pt>
                <c:pt idx="26">
                  <c:v>32.9</c:v>
                </c:pt>
                <c:pt idx="27">
                  <c:v>33.5</c:v>
                </c:pt>
                <c:pt idx="28">
                  <c:v>35.9</c:v>
                </c:pt>
                <c:pt idx="29">
                  <c:v>35.6</c:v>
                </c:pt>
                <c:pt idx="30">
                  <c:v>35.2</c:v>
                </c:pt>
                <c:pt idx="31">
                  <c:v>32.9</c:v>
                </c:pt>
                <c:pt idx="32">
                  <c:v>39.1</c:v>
                </c:pt>
                <c:pt idx="33">
                  <c:v>36.4</c:v>
                </c:pt>
                <c:pt idx="34">
                  <c:v>38.7</c:v>
                </c:pt>
                <c:pt idx="35">
                  <c:v>37.7</c:v>
                </c:pt>
                <c:pt idx="36">
                  <c:v>36.1</c:v>
                </c:pt>
                <c:pt idx="37">
                  <c:v>34.8</c:v>
                </c:pt>
                <c:pt idx="38">
                  <c:v>37.8</c:v>
                </c:pt>
                <c:pt idx="39">
                  <c:v>38.1</c:v>
                </c:pt>
                <c:pt idx="40">
                  <c:v>35.8</c:v>
                </c:pt>
                <c:pt idx="41">
                  <c:v>34.3</c:v>
                </c:pt>
                <c:pt idx="42">
                  <c:v>39.5</c:v>
                </c:pt>
                <c:pt idx="43">
                  <c:v>36.2</c:v>
                </c:pt>
                <c:pt idx="44">
                  <c:v>36.1</c:v>
                </c:pt>
                <c:pt idx="45">
                  <c:v>37.5</c:v>
                </c:pt>
                <c:pt idx="46">
                  <c:v>35.3</c:v>
                </c:pt>
                <c:pt idx="47">
                  <c:v>34.2</c:v>
                </c:pt>
                <c:pt idx="48">
                  <c:v>37.2</c:v>
                </c:pt>
                <c:pt idx="49">
                  <c:v>36.1</c:v>
                </c:pt>
                <c:pt idx="50">
                  <c:v>35.7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74682992"/>
        <c:axId val="-1873474320"/>
      </c:scatterChart>
      <c:valAx>
        <c:axId val="-1874682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73474320"/>
        <c:crosses val="autoZero"/>
        <c:crossBetween val="midCat"/>
      </c:valAx>
      <c:valAx>
        <c:axId val="-187347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74682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[【２】東京の気温データ_14BN004D.xlsx]Sheet1!ﾋﾟﾎﾞｯﾄﾃｰﾌﾞﾙ1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Sheet1!$A$5:$A$56</c:f>
              <c:strCache>
                <c:ptCount val="51"/>
                <c:pt idx="0">
                  <c:v>1962</c:v>
                </c:pt>
                <c:pt idx="1">
                  <c:v>1963</c:v>
                </c:pt>
                <c:pt idx="2">
                  <c:v>1964</c:v>
                </c:pt>
                <c:pt idx="3">
                  <c:v>1965</c:v>
                </c:pt>
                <c:pt idx="4">
                  <c:v>1966</c:v>
                </c:pt>
                <c:pt idx="5">
                  <c:v>1967</c:v>
                </c:pt>
                <c:pt idx="6">
                  <c:v>1968</c:v>
                </c:pt>
                <c:pt idx="7">
                  <c:v>1969</c:v>
                </c:pt>
                <c:pt idx="8">
                  <c:v>1970</c:v>
                </c:pt>
                <c:pt idx="9">
                  <c:v>1971</c:v>
                </c:pt>
                <c:pt idx="10">
                  <c:v>1972</c:v>
                </c:pt>
                <c:pt idx="11">
                  <c:v>1973</c:v>
                </c:pt>
                <c:pt idx="12">
                  <c:v>1974</c:v>
                </c:pt>
                <c:pt idx="13">
                  <c:v>1975</c:v>
                </c:pt>
                <c:pt idx="14">
                  <c:v>1976</c:v>
                </c:pt>
                <c:pt idx="15">
                  <c:v>1977</c:v>
                </c:pt>
                <c:pt idx="16">
                  <c:v>1978</c:v>
                </c:pt>
                <c:pt idx="17">
                  <c:v>1979</c:v>
                </c:pt>
                <c:pt idx="18">
                  <c:v>1980</c:v>
                </c:pt>
                <c:pt idx="19">
                  <c:v>1981</c:v>
                </c:pt>
                <c:pt idx="20">
                  <c:v>1982</c:v>
                </c:pt>
                <c:pt idx="21">
                  <c:v>1983</c:v>
                </c:pt>
                <c:pt idx="22">
                  <c:v>1984</c:v>
                </c:pt>
                <c:pt idx="23">
                  <c:v>1985</c:v>
                </c:pt>
                <c:pt idx="24">
                  <c:v>1986</c:v>
                </c:pt>
                <c:pt idx="25">
                  <c:v>1987</c:v>
                </c:pt>
                <c:pt idx="26">
                  <c:v>1988</c:v>
                </c:pt>
                <c:pt idx="27">
                  <c:v>1989</c:v>
                </c:pt>
                <c:pt idx="28">
                  <c:v>1990</c:v>
                </c:pt>
                <c:pt idx="29">
                  <c:v>1991</c:v>
                </c:pt>
                <c:pt idx="30">
                  <c:v>1992</c:v>
                </c:pt>
                <c:pt idx="31">
                  <c:v>1993</c:v>
                </c:pt>
                <c:pt idx="32">
                  <c:v>1994</c:v>
                </c:pt>
                <c:pt idx="33">
                  <c:v>1995</c:v>
                </c:pt>
                <c:pt idx="34">
                  <c:v>1996</c:v>
                </c:pt>
                <c:pt idx="35">
                  <c:v>1997</c:v>
                </c:pt>
                <c:pt idx="36">
                  <c:v>1998</c:v>
                </c:pt>
                <c:pt idx="37">
                  <c:v>1999</c:v>
                </c:pt>
                <c:pt idx="38">
                  <c:v>2000</c:v>
                </c:pt>
                <c:pt idx="39">
                  <c:v>2001</c:v>
                </c:pt>
                <c:pt idx="40">
                  <c:v>2002</c:v>
                </c:pt>
                <c:pt idx="41">
                  <c:v>2003</c:v>
                </c:pt>
                <c:pt idx="42">
                  <c:v>2004</c:v>
                </c:pt>
                <c:pt idx="43">
                  <c:v>2005</c:v>
                </c:pt>
                <c:pt idx="44">
                  <c:v>2006</c:v>
                </c:pt>
                <c:pt idx="45">
                  <c:v>2007</c:v>
                </c:pt>
                <c:pt idx="46">
                  <c:v>2008</c:v>
                </c:pt>
                <c:pt idx="47">
                  <c:v>2009</c:v>
                </c:pt>
                <c:pt idx="48">
                  <c:v>2010</c:v>
                </c:pt>
                <c:pt idx="49">
                  <c:v>2011</c:v>
                </c:pt>
                <c:pt idx="50">
                  <c:v>2012</c:v>
                </c:pt>
              </c:strCache>
            </c:strRef>
          </c:cat>
          <c:val>
            <c:numRef>
              <c:f>Sheet1!$B$5:$B$56</c:f>
              <c:numCache>
                <c:formatCode>General</c:formatCode>
                <c:ptCount val="51"/>
                <c:pt idx="0">
                  <c:v>4.5</c:v>
                </c:pt>
                <c:pt idx="1">
                  <c:v>3.2</c:v>
                </c:pt>
                <c:pt idx="2">
                  <c:v>5.4</c:v>
                </c:pt>
                <c:pt idx="3">
                  <c:v>4.4</c:v>
                </c:pt>
                <c:pt idx="4">
                  <c:v>4.6</c:v>
                </c:pt>
                <c:pt idx="5">
                  <c:v>4.4</c:v>
                </c:pt>
                <c:pt idx="6">
                  <c:v>5.7</c:v>
                </c:pt>
                <c:pt idx="7">
                  <c:v>5.7</c:v>
                </c:pt>
                <c:pt idx="8">
                  <c:v>4.5</c:v>
                </c:pt>
                <c:pt idx="9">
                  <c:v>5.1</c:v>
                </c:pt>
                <c:pt idx="10">
                  <c:v>6.6</c:v>
                </c:pt>
                <c:pt idx="11">
                  <c:v>6.3</c:v>
                </c:pt>
                <c:pt idx="12">
                  <c:v>4.4</c:v>
                </c:pt>
                <c:pt idx="13">
                  <c:v>4.7</c:v>
                </c:pt>
                <c:pt idx="14">
                  <c:v>5.4</c:v>
                </c:pt>
                <c:pt idx="15">
                  <c:v>3.4</c:v>
                </c:pt>
                <c:pt idx="16">
                  <c:v>5.6</c:v>
                </c:pt>
                <c:pt idx="17">
                  <c:v>6.6</c:v>
                </c:pt>
                <c:pt idx="18">
                  <c:v>5.6</c:v>
                </c:pt>
                <c:pt idx="19">
                  <c:v>4.4</c:v>
                </c:pt>
                <c:pt idx="20">
                  <c:v>5.8</c:v>
                </c:pt>
                <c:pt idx="21">
                  <c:v>6.2</c:v>
                </c:pt>
                <c:pt idx="22">
                  <c:v>3.7</c:v>
                </c:pt>
                <c:pt idx="23">
                  <c:v>4.1</c:v>
                </c:pt>
                <c:pt idx="24">
                  <c:v>4.5</c:v>
                </c:pt>
                <c:pt idx="25">
                  <c:v>5.8</c:v>
                </c:pt>
                <c:pt idx="26">
                  <c:v>7.7</c:v>
                </c:pt>
                <c:pt idx="27">
                  <c:v>8.1</c:v>
                </c:pt>
                <c:pt idx="28">
                  <c:v>5.0</c:v>
                </c:pt>
                <c:pt idx="29">
                  <c:v>6.3</c:v>
                </c:pt>
                <c:pt idx="30">
                  <c:v>6.8</c:v>
                </c:pt>
                <c:pt idx="31">
                  <c:v>6.2</c:v>
                </c:pt>
                <c:pt idx="32">
                  <c:v>5.5</c:v>
                </c:pt>
                <c:pt idx="33">
                  <c:v>6.3</c:v>
                </c:pt>
                <c:pt idx="34">
                  <c:v>6.6</c:v>
                </c:pt>
                <c:pt idx="35">
                  <c:v>6.8</c:v>
                </c:pt>
                <c:pt idx="36">
                  <c:v>5.3</c:v>
                </c:pt>
                <c:pt idx="37">
                  <c:v>6.6</c:v>
                </c:pt>
                <c:pt idx="38">
                  <c:v>7.6</c:v>
                </c:pt>
                <c:pt idx="39">
                  <c:v>4.9</c:v>
                </c:pt>
                <c:pt idx="40">
                  <c:v>7.4</c:v>
                </c:pt>
                <c:pt idx="41">
                  <c:v>5.5</c:v>
                </c:pt>
                <c:pt idx="42">
                  <c:v>6.3</c:v>
                </c:pt>
                <c:pt idx="43">
                  <c:v>6.1</c:v>
                </c:pt>
                <c:pt idx="44">
                  <c:v>5.1</c:v>
                </c:pt>
                <c:pt idx="45">
                  <c:v>7.6</c:v>
                </c:pt>
                <c:pt idx="46">
                  <c:v>5.9</c:v>
                </c:pt>
                <c:pt idx="47">
                  <c:v>6.8</c:v>
                </c:pt>
                <c:pt idx="48">
                  <c:v>7.0</c:v>
                </c:pt>
                <c:pt idx="49">
                  <c:v>5.1</c:v>
                </c:pt>
                <c:pt idx="50">
                  <c:v>4.8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Sheet1!$A$5:$A$56</c:f>
              <c:strCache>
                <c:ptCount val="51"/>
                <c:pt idx="0">
                  <c:v>1962</c:v>
                </c:pt>
                <c:pt idx="1">
                  <c:v>1963</c:v>
                </c:pt>
                <c:pt idx="2">
                  <c:v>1964</c:v>
                </c:pt>
                <c:pt idx="3">
                  <c:v>1965</c:v>
                </c:pt>
                <c:pt idx="4">
                  <c:v>1966</c:v>
                </c:pt>
                <c:pt idx="5">
                  <c:v>1967</c:v>
                </c:pt>
                <c:pt idx="6">
                  <c:v>1968</c:v>
                </c:pt>
                <c:pt idx="7">
                  <c:v>1969</c:v>
                </c:pt>
                <c:pt idx="8">
                  <c:v>1970</c:v>
                </c:pt>
                <c:pt idx="9">
                  <c:v>1971</c:v>
                </c:pt>
                <c:pt idx="10">
                  <c:v>1972</c:v>
                </c:pt>
                <c:pt idx="11">
                  <c:v>1973</c:v>
                </c:pt>
                <c:pt idx="12">
                  <c:v>1974</c:v>
                </c:pt>
                <c:pt idx="13">
                  <c:v>1975</c:v>
                </c:pt>
                <c:pt idx="14">
                  <c:v>1976</c:v>
                </c:pt>
                <c:pt idx="15">
                  <c:v>1977</c:v>
                </c:pt>
                <c:pt idx="16">
                  <c:v>1978</c:v>
                </c:pt>
                <c:pt idx="17">
                  <c:v>1979</c:v>
                </c:pt>
                <c:pt idx="18">
                  <c:v>1980</c:v>
                </c:pt>
                <c:pt idx="19">
                  <c:v>1981</c:v>
                </c:pt>
                <c:pt idx="20">
                  <c:v>1982</c:v>
                </c:pt>
                <c:pt idx="21">
                  <c:v>1983</c:v>
                </c:pt>
                <c:pt idx="22">
                  <c:v>1984</c:v>
                </c:pt>
                <c:pt idx="23">
                  <c:v>1985</c:v>
                </c:pt>
                <c:pt idx="24">
                  <c:v>1986</c:v>
                </c:pt>
                <c:pt idx="25">
                  <c:v>1987</c:v>
                </c:pt>
                <c:pt idx="26">
                  <c:v>1988</c:v>
                </c:pt>
                <c:pt idx="27">
                  <c:v>1989</c:v>
                </c:pt>
                <c:pt idx="28">
                  <c:v>1990</c:v>
                </c:pt>
                <c:pt idx="29">
                  <c:v>1991</c:v>
                </c:pt>
                <c:pt idx="30">
                  <c:v>1992</c:v>
                </c:pt>
                <c:pt idx="31">
                  <c:v>1993</c:v>
                </c:pt>
                <c:pt idx="32">
                  <c:v>1994</c:v>
                </c:pt>
                <c:pt idx="33">
                  <c:v>1995</c:v>
                </c:pt>
                <c:pt idx="34">
                  <c:v>1996</c:v>
                </c:pt>
                <c:pt idx="35">
                  <c:v>1997</c:v>
                </c:pt>
                <c:pt idx="36">
                  <c:v>1998</c:v>
                </c:pt>
                <c:pt idx="37">
                  <c:v>1999</c:v>
                </c:pt>
                <c:pt idx="38">
                  <c:v>2000</c:v>
                </c:pt>
                <c:pt idx="39">
                  <c:v>2001</c:v>
                </c:pt>
                <c:pt idx="40">
                  <c:v>2002</c:v>
                </c:pt>
                <c:pt idx="41">
                  <c:v>2003</c:v>
                </c:pt>
                <c:pt idx="42">
                  <c:v>2004</c:v>
                </c:pt>
                <c:pt idx="43">
                  <c:v>2005</c:v>
                </c:pt>
                <c:pt idx="44">
                  <c:v>2006</c:v>
                </c:pt>
                <c:pt idx="45">
                  <c:v>2007</c:v>
                </c:pt>
                <c:pt idx="46">
                  <c:v>2008</c:v>
                </c:pt>
                <c:pt idx="47">
                  <c:v>2009</c:v>
                </c:pt>
                <c:pt idx="48">
                  <c:v>2010</c:v>
                </c:pt>
                <c:pt idx="49">
                  <c:v>2011</c:v>
                </c:pt>
                <c:pt idx="50">
                  <c:v>2012</c:v>
                </c:pt>
              </c:strCache>
            </c:strRef>
          </c:cat>
          <c:val>
            <c:numRef>
              <c:f>Sheet1!$C$5:$C$56</c:f>
              <c:numCache>
                <c:formatCode>General</c:formatCode>
                <c:ptCount val="51"/>
                <c:pt idx="0">
                  <c:v>28.1</c:v>
                </c:pt>
                <c:pt idx="1">
                  <c:v>26.6</c:v>
                </c:pt>
                <c:pt idx="2">
                  <c:v>27.8</c:v>
                </c:pt>
                <c:pt idx="3">
                  <c:v>26.7</c:v>
                </c:pt>
                <c:pt idx="4">
                  <c:v>26.9</c:v>
                </c:pt>
                <c:pt idx="5">
                  <c:v>28.0</c:v>
                </c:pt>
                <c:pt idx="6">
                  <c:v>26.6</c:v>
                </c:pt>
                <c:pt idx="7">
                  <c:v>27.2</c:v>
                </c:pt>
                <c:pt idx="8">
                  <c:v>27.4</c:v>
                </c:pt>
                <c:pt idx="9">
                  <c:v>26.7</c:v>
                </c:pt>
                <c:pt idx="10">
                  <c:v>26.6</c:v>
                </c:pt>
                <c:pt idx="11">
                  <c:v>28.5</c:v>
                </c:pt>
                <c:pt idx="12">
                  <c:v>27.1</c:v>
                </c:pt>
                <c:pt idx="13">
                  <c:v>27.3</c:v>
                </c:pt>
                <c:pt idx="14">
                  <c:v>25.1</c:v>
                </c:pt>
                <c:pt idx="15">
                  <c:v>25.0</c:v>
                </c:pt>
                <c:pt idx="16">
                  <c:v>28.9</c:v>
                </c:pt>
                <c:pt idx="17">
                  <c:v>27.4</c:v>
                </c:pt>
                <c:pt idx="18">
                  <c:v>23.4</c:v>
                </c:pt>
                <c:pt idx="19">
                  <c:v>26.2</c:v>
                </c:pt>
                <c:pt idx="20">
                  <c:v>27.1</c:v>
                </c:pt>
                <c:pt idx="21">
                  <c:v>27.5</c:v>
                </c:pt>
                <c:pt idx="22">
                  <c:v>28.6</c:v>
                </c:pt>
                <c:pt idx="23">
                  <c:v>27.9</c:v>
                </c:pt>
                <c:pt idx="24">
                  <c:v>26.8</c:v>
                </c:pt>
                <c:pt idx="25">
                  <c:v>27.3</c:v>
                </c:pt>
                <c:pt idx="26">
                  <c:v>27.0</c:v>
                </c:pt>
                <c:pt idx="27">
                  <c:v>27.1</c:v>
                </c:pt>
                <c:pt idx="28">
                  <c:v>28.6</c:v>
                </c:pt>
                <c:pt idx="29">
                  <c:v>25.5</c:v>
                </c:pt>
                <c:pt idx="30">
                  <c:v>27.0</c:v>
                </c:pt>
                <c:pt idx="31">
                  <c:v>24.8</c:v>
                </c:pt>
                <c:pt idx="32">
                  <c:v>28.9</c:v>
                </c:pt>
                <c:pt idx="33">
                  <c:v>29.4</c:v>
                </c:pt>
                <c:pt idx="34">
                  <c:v>26.0</c:v>
                </c:pt>
                <c:pt idx="35">
                  <c:v>27.0</c:v>
                </c:pt>
                <c:pt idx="36">
                  <c:v>27.2</c:v>
                </c:pt>
                <c:pt idx="37">
                  <c:v>28.5</c:v>
                </c:pt>
                <c:pt idx="38">
                  <c:v>28.3</c:v>
                </c:pt>
                <c:pt idx="39">
                  <c:v>26.4</c:v>
                </c:pt>
                <c:pt idx="40">
                  <c:v>28.0</c:v>
                </c:pt>
                <c:pt idx="41">
                  <c:v>26.0</c:v>
                </c:pt>
                <c:pt idx="42">
                  <c:v>27.2</c:v>
                </c:pt>
                <c:pt idx="43">
                  <c:v>28.1</c:v>
                </c:pt>
                <c:pt idx="44">
                  <c:v>27.5</c:v>
                </c:pt>
                <c:pt idx="45">
                  <c:v>29.0</c:v>
                </c:pt>
                <c:pt idx="46">
                  <c:v>26.8</c:v>
                </c:pt>
                <c:pt idx="47">
                  <c:v>26.6</c:v>
                </c:pt>
                <c:pt idx="48">
                  <c:v>29.6</c:v>
                </c:pt>
                <c:pt idx="49">
                  <c:v>27.5</c:v>
                </c:pt>
                <c:pt idx="50">
                  <c:v>29.1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11475312"/>
        <c:axId val="-1911473264"/>
      </c:lineChart>
      <c:catAx>
        <c:axId val="-191147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1473264"/>
        <c:crosses val="autoZero"/>
        <c:auto val="1"/>
        <c:lblAlgn val="ctr"/>
        <c:lblOffset val="100"/>
        <c:noMultiLvlLbl val="0"/>
      </c:catAx>
      <c:valAx>
        <c:axId val="-191147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147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196850</xdr:rowOff>
    </xdr:from>
    <xdr:to>
      <xdr:col>21</xdr:col>
      <xdr:colOff>533400</xdr:colOff>
      <xdr:row>15</xdr:row>
      <xdr:rowOff>146050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666750</xdr:colOff>
      <xdr:row>1</xdr:row>
      <xdr:rowOff>196850</xdr:rowOff>
    </xdr:from>
    <xdr:to>
      <xdr:col>28</xdr:col>
      <xdr:colOff>527050</xdr:colOff>
      <xdr:row>15</xdr:row>
      <xdr:rowOff>146050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666750</xdr:colOff>
      <xdr:row>16</xdr:row>
      <xdr:rowOff>184150</xdr:rowOff>
    </xdr:from>
    <xdr:to>
      <xdr:col>28</xdr:col>
      <xdr:colOff>527050</xdr:colOff>
      <xdr:row>31</xdr:row>
      <xdr:rowOff>69850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666750</xdr:colOff>
      <xdr:row>16</xdr:row>
      <xdr:rowOff>184150</xdr:rowOff>
    </xdr:from>
    <xdr:to>
      <xdr:col>21</xdr:col>
      <xdr:colOff>527050</xdr:colOff>
      <xdr:row>31</xdr:row>
      <xdr:rowOff>69850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584200</xdr:colOff>
      <xdr:row>5</xdr:row>
      <xdr:rowOff>149225</xdr:rowOff>
    </xdr:from>
    <xdr:to>
      <xdr:col>17</xdr:col>
      <xdr:colOff>1079500</xdr:colOff>
      <xdr:row>24</xdr:row>
      <xdr:rowOff>82550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uhsin" refreshedDate="42931.73039409722" createdVersion="5" refreshedVersion="5" minRefreshableVersion="3" recordCount="612">
  <cacheSource type="worksheet">
    <worksheetSource ref="A2:F614" sheet="Tokyo_Temperature_Data"/>
  </cacheSource>
  <cacheFields count="6">
    <cacheField name="年" numFmtId="0">
      <sharedItems containsSemiMixedTypes="0" containsString="0" containsNumber="1" containsInteger="1" minValue="1962" maxValue="2012" count="51"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</sharedItems>
    </cacheField>
    <cacheField name="月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平均気温(℃)" numFmtId="0">
      <sharedItems containsSemiMixedTypes="0" containsString="0" containsNumber="1" minValue="3" maxValue="29.6" count="228">
        <n v="4.5"/>
        <n v="5.9"/>
        <n v="8.1999999999999993"/>
        <n v="14.1"/>
        <n v="18.399999999999999"/>
        <n v="20.9"/>
        <n v="25.1"/>
        <n v="28.1"/>
        <n v="24.5"/>
        <n v="16.7"/>
        <n v="11.3"/>
        <n v="7"/>
        <n v="3.2"/>
        <n v="4.8"/>
        <n v="7.6"/>
        <n v="13.9"/>
        <n v="21.8"/>
        <n v="25.7"/>
        <n v="26.6"/>
        <n v="21.4"/>
        <n v="16.3"/>
        <n v="12.1"/>
        <n v="8.1"/>
        <n v="5.4"/>
        <n v="4.2"/>
        <n v="15.3"/>
        <n v="18.899999999999999"/>
        <n v="21.5"/>
        <n v="25.5"/>
        <n v="27.8"/>
        <n v="22.3"/>
        <n v="15.9"/>
        <n v="11.1"/>
        <n v="7.5"/>
        <n v="4.4000000000000004"/>
        <n v="4.7"/>
        <n v="6.9"/>
        <n v="17.2"/>
        <n v="21.6"/>
        <n v="24.2"/>
        <n v="26.7"/>
        <n v="22.2"/>
        <n v="16.899999999999999"/>
        <n v="12.7"/>
        <n v="4.5999999999999996"/>
        <n v="7.2"/>
        <n v="9.6"/>
        <n v="13.6"/>
        <n v="17.899999999999999"/>
        <n v="20.100000000000001"/>
        <n v="24.4"/>
        <n v="26.9"/>
        <n v="23.2"/>
        <n v="12.9"/>
        <n v="6.6"/>
        <n v="4.9000000000000004"/>
        <n v="9.5"/>
        <n v="14.5"/>
        <n v="20"/>
        <n v="23"/>
        <n v="26.3"/>
        <n v="28"/>
        <n v="22.6"/>
        <n v="6.7"/>
        <n v="5.7"/>
        <n v="4.3"/>
        <n v="10"/>
        <n v="17.5"/>
        <n v="22"/>
        <n v="24.7"/>
        <n v="21.9"/>
        <n v="10.199999999999999"/>
        <n v="7.9"/>
        <n v="14.6"/>
        <n v="19.600000000000001"/>
        <n v="25"/>
        <n v="27.2"/>
        <n v="22.8"/>
        <n v="17.3"/>
        <n v="12.8"/>
        <n v="6"/>
        <n v="5.5"/>
        <n v="13"/>
        <n v="20.7"/>
        <n v="25.4"/>
        <n v="27.4"/>
        <n v="24"/>
        <n v="12.3"/>
        <n v="6.8"/>
        <n v="5.0999999999999996"/>
        <n v="8.3000000000000007"/>
        <n v="13.5"/>
        <n v="17.399999999999999"/>
        <n v="21.3"/>
        <n v="25.8"/>
        <n v="21.1"/>
        <n v="15.5"/>
        <n v="11.9"/>
        <n v="9.6999999999999993"/>
        <n v="13.4"/>
        <n v="18.600000000000001"/>
        <n v="25.2"/>
        <n v="23.1"/>
        <n v="18.5"/>
        <n v="6.3"/>
        <n v="7.8"/>
        <n v="19.8"/>
        <n v="26.1"/>
        <n v="28.5"/>
        <n v="7.3"/>
        <n v="14.8"/>
        <n v="19.3"/>
        <n v="23.4"/>
        <n v="27.1"/>
        <n v="17.8"/>
        <n v="11.7"/>
        <n v="14.3"/>
        <n v="25.6"/>
        <n v="27.3"/>
        <n v="9"/>
        <n v="17.7"/>
        <n v="23.9"/>
        <n v="11.2"/>
        <n v="3.4"/>
        <n v="9.3000000000000007"/>
        <n v="15.1"/>
        <n v="18.7"/>
        <n v="24.3"/>
        <n v="8.9"/>
        <n v="5.6"/>
        <n v="8.6999999999999993"/>
        <n v="19"/>
        <n v="23.8"/>
        <n v="28.9"/>
        <n v="8.5"/>
        <n v="8.4"/>
        <n v="9.9"/>
        <n v="24.1"/>
        <n v="10.1"/>
        <n v="5.2"/>
        <n v="19.2"/>
        <n v="23.6"/>
        <n v="18.2"/>
        <n v="7.7"/>
        <n v="5.3"/>
        <n v="20.2"/>
        <n v="26.2"/>
        <n v="17.600000000000001"/>
        <n v="10.4"/>
        <n v="5.8"/>
        <n v="14"/>
        <n v="18"/>
        <n v="6.2"/>
        <n v="6.1"/>
        <n v="8.6"/>
        <n v="19.7"/>
        <n v="20.5"/>
        <n v="27.5"/>
        <n v="7.1"/>
        <n v="3.7"/>
        <n v="3"/>
        <n v="11.6"/>
        <n v="28.6"/>
        <n v="23.5"/>
        <n v="12.2"/>
        <n v="4.0999999999999996"/>
        <n v="6.5"/>
        <n v="14.2"/>
        <n v="19.100000000000001"/>
        <n v="27.9"/>
        <n v="13.3"/>
        <n v="7.4"/>
        <n v="26.8"/>
        <n v="23.7"/>
        <n v="17.100000000000001"/>
        <n v="14.4"/>
        <n v="22.1"/>
        <n v="27"/>
        <n v="23.3"/>
        <n v="22.4"/>
        <n v="11.4"/>
        <n v="15.6"/>
        <n v="9.1999999999999993"/>
        <n v="5"/>
        <n v="10.6"/>
        <n v="14.7"/>
        <n v="24.8"/>
        <n v="15.4"/>
        <n v="18.8"/>
        <n v="18.100000000000001"/>
        <n v="20.6"/>
        <n v="9.4"/>
        <n v="21.7"/>
        <n v="22.5"/>
        <n v="22.9"/>
        <n v="15.8"/>
        <n v="19.5"/>
        <n v="28.3"/>
        <n v="15"/>
        <n v="20.399999999999999"/>
        <n v="26.4"/>
        <n v="29.4"/>
        <n v="26"/>
        <n v="13.2"/>
        <n v="10.5"/>
        <n v="15.2"/>
        <n v="22.7"/>
        <n v="25.3"/>
        <n v="19.899999999999999"/>
        <n v="25.9"/>
        <n v="27.7"/>
        <n v="8.8000000000000007"/>
        <n v="9.8000000000000007"/>
        <n v="15.7"/>
        <n v="13.1"/>
        <n v="16.100000000000001"/>
        <n v="6.4"/>
        <n v="16.399999999999999"/>
        <n v="10.8"/>
        <n v="13.7"/>
        <n v="29"/>
        <n v="10.7"/>
        <n v="19.399999999999999"/>
        <n v="9.1"/>
        <n v="12.4"/>
        <n v="29.6"/>
        <n v="14.9"/>
        <n v="29.1"/>
      </sharedItems>
    </cacheField>
    <cacheField name="最高気温(℃)" numFmtId="0">
      <sharedItems containsSemiMixedTypes="0" containsString="0" containsNumber="1" minValue="11.1" maxValue="39.5"/>
    </cacheField>
    <cacheField name="最低気温(℃)" numFmtId="0">
      <sharedItems containsSemiMixedTypes="0" containsString="0" containsNumber="1" minValue="-5.5" maxValue="24.5"/>
    </cacheField>
    <cacheField name="降水量の合計(mm)" numFmtId="0">
      <sharedItems containsSemiMixedTypes="0" containsString="0" containsNumber="1" minValue="0" maxValue="7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2">
  <r>
    <x v="0"/>
    <x v="0"/>
    <x v="0"/>
    <n v="13.8"/>
    <n v="-3.8"/>
    <n v="40.5"/>
  </r>
  <r>
    <x v="0"/>
    <x v="1"/>
    <x v="1"/>
    <n v="24.5"/>
    <n v="-2.6"/>
    <n v="13.5"/>
  </r>
  <r>
    <x v="0"/>
    <x v="2"/>
    <x v="2"/>
    <n v="18.8"/>
    <n v="-0.8"/>
    <n v="65.5"/>
  </r>
  <r>
    <x v="0"/>
    <x v="3"/>
    <x v="3"/>
    <n v="24.5"/>
    <n v="2.8"/>
    <n v="124.2"/>
  </r>
  <r>
    <x v="0"/>
    <x v="4"/>
    <x v="4"/>
    <n v="28.9"/>
    <n v="9.6999999999999993"/>
    <n v="211.5"/>
  </r>
  <r>
    <x v="0"/>
    <x v="5"/>
    <x v="5"/>
    <n v="29.2"/>
    <n v="12.6"/>
    <n v="244.5"/>
  </r>
  <r>
    <x v="0"/>
    <x v="6"/>
    <x v="6"/>
    <n v="34.1"/>
    <n v="16.600000000000001"/>
    <n v="166.9"/>
  </r>
  <r>
    <x v="0"/>
    <x v="7"/>
    <x v="7"/>
    <n v="37.6"/>
    <n v="21.8"/>
    <n v="50.1"/>
  </r>
  <r>
    <x v="0"/>
    <x v="8"/>
    <x v="8"/>
    <n v="32.9"/>
    <n v="12.2"/>
    <n v="4.9000000000000004"/>
  </r>
  <r>
    <x v="0"/>
    <x v="9"/>
    <x v="9"/>
    <n v="29.5"/>
    <n v="8.1999999999999993"/>
    <n v="119.8"/>
  </r>
  <r>
    <x v="0"/>
    <x v="10"/>
    <x v="10"/>
    <n v="25.6"/>
    <n v="0.1"/>
    <n v="151.80000000000001"/>
  </r>
  <r>
    <x v="0"/>
    <x v="11"/>
    <x v="11"/>
    <n v="16.3"/>
    <n v="-0.3"/>
    <n v="62.8"/>
  </r>
  <r>
    <x v="1"/>
    <x v="0"/>
    <x v="12"/>
    <n v="12.7"/>
    <n v="-5.5"/>
    <n v="0.2"/>
  </r>
  <r>
    <x v="1"/>
    <x v="1"/>
    <x v="13"/>
    <n v="15.3"/>
    <n v="-4.0999999999999996"/>
    <n v="21.3"/>
  </r>
  <r>
    <x v="1"/>
    <x v="2"/>
    <x v="14"/>
    <n v="20.5"/>
    <n v="-2.1"/>
    <n v="86.7"/>
  </r>
  <r>
    <x v="1"/>
    <x v="3"/>
    <x v="15"/>
    <n v="26.9"/>
    <n v="2.4"/>
    <n v="76.099999999999994"/>
  </r>
  <r>
    <x v="1"/>
    <x v="4"/>
    <x v="4"/>
    <n v="31.2"/>
    <n v="8.1"/>
    <n v="135.1"/>
  </r>
  <r>
    <x v="1"/>
    <x v="5"/>
    <x v="16"/>
    <n v="35.700000000000003"/>
    <n v="10.3"/>
    <n v="248.2"/>
  </r>
  <r>
    <x v="1"/>
    <x v="6"/>
    <x v="17"/>
    <n v="35.5"/>
    <n v="16.8"/>
    <n v="65.900000000000006"/>
  </r>
  <r>
    <x v="1"/>
    <x v="7"/>
    <x v="18"/>
    <n v="37.200000000000003"/>
    <n v="20.9"/>
    <n v="382.2"/>
  </r>
  <r>
    <x v="1"/>
    <x v="8"/>
    <x v="19"/>
    <n v="30.6"/>
    <n v="11.7"/>
    <n v="144.19999999999999"/>
  </r>
  <r>
    <x v="1"/>
    <x v="9"/>
    <x v="20"/>
    <n v="27"/>
    <n v="8.4"/>
    <n v="294.7"/>
  </r>
  <r>
    <x v="1"/>
    <x v="10"/>
    <x v="21"/>
    <n v="23.1"/>
    <n v="3.1"/>
    <n v="90.6"/>
  </r>
  <r>
    <x v="1"/>
    <x v="11"/>
    <x v="22"/>
    <n v="18.7"/>
    <n v="-0.9"/>
    <n v="29.8"/>
  </r>
  <r>
    <x v="2"/>
    <x v="0"/>
    <x v="23"/>
    <n v="18.7"/>
    <n v="-2.8"/>
    <n v="144.6"/>
  </r>
  <r>
    <x v="2"/>
    <x v="1"/>
    <x v="24"/>
    <n v="12.6"/>
    <n v="-2.4"/>
    <n v="64"/>
  </r>
  <r>
    <x v="2"/>
    <x v="2"/>
    <x v="14"/>
    <n v="21.3"/>
    <n v="0"/>
    <n v="99.7"/>
  </r>
  <r>
    <x v="2"/>
    <x v="3"/>
    <x v="25"/>
    <n v="26.3"/>
    <n v="5.5"/>
    <n v="94.2"/>
  </r>
  <r>
    <x v="2"/>
    <x v="4"/>
    <x v="26"/>
    <n v="31.4"/>
    <n v="9.9"/>
    <n v="80.400000000000006"/>
  </r>
  <r>
    <x v="2"/>
    <x v="5"/>
    <x v="27"/>
    <n v="30.5"/>
    <n v="11.3"/>
    <n v="139.9"/>
  </r>
  <r>
    <x v="2"/>
    <x v="6"/>
    <x v="28"/>
    <n v="34"/>
    <n v="18.3"/>
    <n v="45.9"/>
  </r>
  <r>
    <x v="2"/>
    <x v="7"/>
    <x v="29"/>
    <n v="35.200000000000003"/>
    <n v="21.6"/>
    <n v="110.8"/>
  </r>
  <r>
    <x v="2"/>
    <x v="8"/>
    <x v="30"/>
    <n v="32.4"/>
    <n v="12.3"/>
    <n v="132.4"/>
  </r>
  <r>
    <x v="2"/>
    <x v="9"/>
    <x v="31"/>
    <n v="26"/>
    <n v="8.3000000000000007"/>
    <n v="130.5"/>
  </r>
  <r>
    <x v="2"/>
    <x v="10"/>
    <x v="32"/>
    <n v="21.5"/>
    <n v="2.4"/>
    <n v="50.3"/>
  </r>
  <r>
    <x v="2"/>
    <x v="11"/>
    <x v="33"/>
    <n v="15"/>
    <n v="-1"/>
    <n v="47.5"/>
  </r>
  <r>
    <x v="3"/>
    <x v="0"/>
    <x v="34"/>
    <n v="12.9"/>
    <n v="-3.3"/>
    <n v="48"/>
  </r>
  <r>
    <x v="3"/>
    <x v="1"/>
    <x v="35"/>
    <n v="18.3"/>
    <n v="-4.7"/>
    <n v="10.5"/>
  </r>
  <r>
    <x v="3"/>
    <x v="2"/>
    <x v="36"/>
    <n v="16.399999999999999"/>
    <n v="-1.1000000000000001"/>
    <n v="44.5"/>
  </r>
  <r>
    <x v="3"/>
    <x v="3"/>
    <x v="32"/>
    <n v="25.1"/>
    <n v="2.6"/>
    <n v="87"/>
  </r>
  <r>
    <x v="3"/>
    <x v="4"/>
    <x v="37"/>
    <n v="26.6"/>
    <n v="7.4"/>
    <n v="400"/>
  </r>
  <r>
    <x v="3"/>
    <x v="5"/>
    <x v="38"/>
    <n v="31.2"/>
    <n v="13.4"/>
    <n v="219.5"/>
  </r>
  <r>
    <x v="3"/>
    <x v="6"/>
    <x v="39"/>
    <n v="33.6"/>
    <n v="17.100000000000001"/>
    <n v="97"/>
  </r>
  <r>
    <x v="3"/>
    <x v="7"/>
    <x v="40"/>
    <n v="35"/>
    <n v="19.899999999999999"/>
    <n v="234.5"/>
  </r>
  <r>
    <x v="3"/>
    <x v="8"/>
    <x v="41"/>
    <n v="29.9"/>
    <n v="13.9"/>
    <n v="204.5"/>
  </r>
  <r>
    <x v="3"/>
    <x v="9"/>
    <x v="42"/>
    <n v="26.8"/>
    <n v="10.3"/>
    <n v="53"/>
  </r>
  <r>
    <x v="3"/>
    <x v="10"/>
    <x v="43"/>
    <n v="24.9"/>
    <n v="4.5999999999999996"/>
    <n v="131.5"/>
  </r>
  <r>
    <x v="3"/>
    <x v="11"/>
    <x v="11"/>
    <n v="17.600000000000001"/>
    <n v="-1.4"/>
    <n v="66"/>
  </r>
  <r>
    <x v="4"/>
    <x v="0"/>
    <x v="44"/>
    <n v="17.2"/>
    <n v="-2.9"/>
    <n v="23.6"/>
  </r>
  <r>
    <x v="4"/>
    <x v="1"/>
    <x v="45"/>
    <n v="19.100000000000001"/>
    <n v="-3.2"/>
    <n v="122"/>
  </r>
  <r>
    <x v="4"/>
    <x v="2"/>
    <x v="46"/>
    <n v="21.6"/>
    <n v="1.2"/>
    <n v="99.9"/>
  </r>
  <r>
    <x v="4"/>
    <x v="3"/>
    <x v="47"/>
    <n v="26.4"/>
    <n v="5"/>
    <n v="133.69999999999999"/>
  </r>
  <r>
    <x v="4"/>
    <x v="4"/>
    <x v="48"/>
    <n v="27.5"/>
    <n v="9"/>
    <n v="196.2"/>
  </r>
  <r>
    <x v="4"/>
    <x v="5"/>
    <x v="49"/>
    <n v="30.5"/>
    <n v="11.1"/>
    <n v="510.2"/>
  </r>
  <r>
    <x v="4"/>
    <x v="6"/>
    <x v="50"/>
    <n v="33"/>
    <n v="14.1"/>
    <n v="160.80000000000001"/>
  </r>
  <r>
    <x v="4"/>
    <x v="7"/>
    <x v="51"/>
    <n v="34.9"/>
    <n v="21.2"/>
    <n v="54.5"/>
  </r>
  <r>
    <x v="4"/>
    <x v="8"/>
    <x v="52"/>
    <n v="32.799999999999997"/>
    <n v="14.6"/>
    <n v="197.1"/>
  </r>
  <r>
    <x v="4"/>
    <x v="9"/>
    <x v="26"/>
    <n v="26.7"/>
    <n v="11"/>
    <n v="108.5"/>
  </r>
  <r>
    <x v="4"/>
    <x v="10"/>
    <x v="53"/>
    <n v="24.9"/>
    <n v="2.1"/>
    <n v="29"/>
  </r>
  <r>
    <x v="4"/>
    <x v="11"/>
    <x v="54"/>
    <n v="15.3"/>
    <n v="-1.9"/>
    <n v="8"/>
  </r>
  <r>
    <x v="5"/>
    <x v="0"/>
    <x v="34"/>
    <n v="15.4"/>
    <n v="-3.6"/>
    <n v="32.200000000000003"/>
  </r>
  <r>
    <x v="5"/>
    <x v="1"/>
    <x v="55"/>
    <n v="19.100000000000001"/>
    <n v="-4"/>
    <n v="43.8"/>
  </r>
  <r>
    <x v="5"/>
    <x v="2"/>
    <x v="56"/>
    <n v="23.3"/>
    <n v="-0.9"/>
    <n v="69.7"/>
  </r>
  <r>
    <x v="5"/>
    <x v="3"/>
    <x v="57"/>
    <n v="24.2"/>
    <n v="1.8"/>
    <n v="104.7"/>
  </r>
  <r>
    <x v="5"/>
    <x v="4"/>
    <x v="58"/>
    <n v="30.4"/>
    <n v="12.3"/>
    <n v="49.3"/>
  </r>
  <r>
    <x v="5"/>
    <x v="5"/>
    <x v="59"/>
    <n v="30.9"/>
    <n v="16.2"/>
    <n v="109.3"/>
  </r>
  <r>
    <x v="5"/>
    <x v="6"/>
    <x v="60"/>
    <n v="34.1"/>
    <n v="19.600000000000001"/>
    <n v="89.2"/>
  </r>
  <r>
    <x v="5"/>
    <x v="7"/>
    <x v="61"/>
    <n v="37.200000000000003"/>
    <n v="21.5"/>
    <n v="67.3"/>
  </r>
  <r>
    <x v="5"/>
    <x v="8"/>
    <x v="62"/>
    <n v="31.3"/>
    <n v="15.4"/>
    <n v="148.80000000000001"/>
  </r>
  <r>
    <x v="5"/>
    <x v="9"/>
    <x v="42"/>
    <n v="26"/>
    <n v="9.5"/>
    <n v="214.7"/>
  </r>
  <r>
    <x v="5"/>
    <x v="10"/>
    <x v="21"/>
    <n v="24.1"/>
    <n v="2.9"/>
    <n v="61.4"/>
  </r>
  <r>
    <x v="5"/>
    <x v="11"/>
    <x v="63"/>
    <n v="16.2"/>
    <n v="-2.6"/>
    <n v="32.9"/>
  </r>
  <r>
    <x v="6"/>
    <x v="0"/>
    <x v="64"/>
    <n v="16.2"/>
    <n v="-1.9"/>
    <n v="9.5"/>
  </r>
  <r>
    <x v="6"/>
    <x v="1"/>
    <x v="65"/>
    <n v="15.5"/>
    <n v="-2.9"/>
    <n v="48"/>
  </r>
  <r>
    <x v="6"/>
    <x v="2"/>
    <x v="66"/>
    <n v="20.5"/>
    <n v="1.4"/>
    <n v="94"/>
  </r>
  <r>
    <x v="6"/>
    <x v="3"/>
    <x v="3"/>
    <n v="23.4"/>
    <n v="6.6"/>
    <n v="117.5"/>
  </r>
  <r>
    <x v="6"/>
    <x v="4"/>
    <x v="67"/>
    <n v="25.5"/>
    <n v="10"/>
    <n v="185.5"/>
  </r>
  <r>
    <x v="6"/>
    <x v="5"/>
    <x v="68"/>
    <n v="30"/>
    <n v="15.9"/>
    <n v="175"/>
  </r>
  <r>
    <x v="6"/>
    <x v="6"/>
    <x v="69"/>
    <n v="32.299999999999997"/>
    <n v="18.600000000000001"/>
    <n v="136"/>
  </r>
  <r>
    <x v="6"/>
    <x v="7"/>
    <x v="18"/>
    <n v="33.5"/>
    <n v="19.899999999999999"/>
    <n v="256"/>
  </r>
  <r>
    <x v="6"/>
    <x v="8"/>
    <x v="70"/>
    <n v="28.9"/>
    <n v="16"/>
    <n v="109.5"/>
  </r>
  <r>
    <x v="6"/>
    <x v="9"/>
    <x v="20"/>
    <n v="27.2"/>
    <n v="8.8000000000000007"/>
    <n v="152.5"/>
  </r>
  <r>
    <x v="6"/>
    <x v="10"/>
    <x v="3"/>
    <n v="23.4"/>
    <n v="4"/>
    <n v="19.5"/>
  </r>
  <r>
    <x v="6"/>
    <x v="11"/>
    <x v="71"/>
    <n v="20.100000000000001"/>
    <n v="1.1000000000000001"/>
    <n v="188"/>
  </r>
  <r>
    <x v="7"/>
    <x v="0"/>
    <x v="64"/>
    <n v="22.6"/>
    <n v="-2.1"/>
    <n v="54.5"/>
  </r>
  <r>
    <x v="7"/>
    <x v="1"/>
    <x v="64"/>
    <n v="19.100000000000001"/>
    <n v="-1.2"/>
    <n v="100"/>
  </r>
  <r>
    <x v="7"/>
    <x v="2"/>
    <x v="72"/>
    <n v="21.9"/>
    <n v="-1.5"/>
    <n v="121"/>
  </r>
  <r>
    <x v="7"/>
    <x v="3"/>
    <x v="73"/>
    <n v="27.2"/>
    <n v="1"/>
    <n v="73"/>
  </r>
  <r>
    <x v="7"/>
    <x v="4"/>
    <x v="74"/>
    <n v="30.3"/>
    <n v="13"/>
    <n v="88.5"/>
  </r>
  <r>
    <x v="7"/>
    <x v="5"/>
    <x v="16"/>
    <n v="29.3"/>
    <n v="13"/>
    <n v="187.5"/>
  </r>
  <r>
    <x v="7"/>
    <x v="6"/>
    <x v="75"/>
    <n v="36.6"/>
    <n v="15.6"/>
    <n v="102"/>
  </r>
  <r>
    <x v="7"/>
    <x v="7"/>
    <x v="76"/>
    <n v="35.799999999999997"/>
    <n v="20.5"/>
    <n v="131.5"/>
  </r>
  <r>
    <x v="7"/>
    <x v="8"/>
    <x v="77"/>
    <n v="33.200000000000003"/>
    <n v="13.6"/>
    <n v="238.5"/>
  </r>
  <r>
    <x v="7"/>
    <x v="9"/>
    <x v="78"/>
    <n v="26.1"/>
    <n v="8.8000000000000007"/>
    <n v="146"/>
  </r>
  <r>
    <x v="7"/>
    <x v="10"/>
    <x v="79"/>
    <n v="24.2"/>
    <n v="2.6"/>
    <n v="93.5"/>
  </r>
  <r>
    <x v="7"/>
    <x v="11"/>
    <x v="45"/>
    <n v="19.7"/>
    <n v="-1.7"/>
    <n v="7"/>
  </r>
  <r>
    <x v="8"/>
    <x v="0"/>
    <x v="0"/>
    <n v="14.2"/>
    <n v="-4"/>
    <n v="58.5"/>
  </r>
  <r>
    <x v="8"/>
    <x v="1"/>
    <x v="80"/>
    <n v="17.7"/>
    <n v="-2.2000000000000002"/>
    <n v="34.5"/>
  </r>
  <r>
    <x v="8"/>
    <x v="2"/>
    <x v="81"/>
    <n v="16.5"/>
    <n v="-2.6"/>
    <n v="46.5"/>
  </r>
  <r>
    <x v="8"/>
    <x v="3"/>
    <x v="82"/>
    <n v="24.1"/>
    <n v="4.9000000000000004"/>
    <n v="94"/>
  </r>
  <r>
    <x v="8"/>
    <x v="4"/>
    <x v="74"/>
    <n v="30"/>
    <n v="11.2"/>
    <n v="161.5"/>
  </r>
  <r>
    <x v="8"/>
    <x v="5"/>
    <x v="83"/>
    <n v="31"/>
    <n v="13.1"/>
    <n v="218"/>
  </r>
  <r>
    <x v="8"/>
    <x v="6"/>
    <x v="84"/>
    <n v="34.9"/>
    <n v="17.100000000000001"/>
    <n v="118.5"/>
  </r>
  <r>
    <x v="8"/>
    <x v="7"/>
    <x v="85"/>
    <n v="35.5"/>
    <n v="19.899999999999999"/>
    <n v="20.5"/>
  </r>
  <r>
    <x v="8"/>
    <x v="8"/>
    <x v="86"/>
    <n v="35.4"/>
    <n v="13.5"/>
    <n v="86"/>
  </r>
  <r>
    <x v="8"/>
    <x v="9"/>
    <x v="37"/>
    <n v="26.1"/>
    <n v="7.4"/>
    <n v="98.5"/>
  </r>
  <r>
    <x v="8"/>
    <x v="10"/>
    <x v="87"/>
    <n v="23.4"/>
    <n v="2"/>
    <n v="144.5"/>
  </r>
  <r>
    <x v="8"/>
    <x v="11"/>
    <x v="88"/>
    <n v="20.5"/>
    <n v="-0.6"/>
    <n v="41"/>
  </r>
  <r>
    <x v="9"/>
    <x v="0"/>
    <x v="89"/>
    <n v="13.5"/>
    <n v="-2.2000000000000002"/>
    <n v="32"/>
  </r>
  <r>
    <x v="9"/>
    <x v="1"/>
    <x v="1"/>
    <n v="16.2"/>
    <n v="-1.5"/>
    <n v="38"/>
  </r>
  <r>
    <x v="9"/>
    <x v="2"/>
    <x v="90"/>
    <n v="20.399999999999999"/>
    <n v="-0.9"/>
    <n v="67.5"/>
  </r>
  <r>
    <x v="9"/>
    <x v="3"/>
    <x v="91"/>
    <n v="25.9"/>
    <n v="5.3"/>
    <n v="134"/>
  </r>
  <r>
    <x v="9"/>
    <x v="4"/>
    <x v="92"/>
    <n v="28.8"/>
    <n v="9.4"/>
    <n v="110"/>
  </r>
  <r>
    <x v="9"/>
    <x v="5"/>
    <x v="93"/>
    <n v="30.7"/>
    <n v="15.4"/>
    <n v="91.5"/>
  </r>
  <r>
    <x v="9"/>
    <x v="6"/>
    <x v="94"/>
    <n v="33.700000000000003"/>
    <n v="18.600000000000001"/>
    <n v="153.5"/>
  </r>
  <r>
    <x v="9"/>
    <x v="7"/>
    <x v="40"/>
    <n v="34.4"/>
    <n v="19.399999999999999"/>
    <n v="195"/>
  </r>
  <r>
    <x v="9"/>
    <x v="8"/>
    <x v="95"/>
    <n v="30.8"/>
    <n v="14.6"/>
    <n v="273"/>
  </r>
  <r>
    <x v="9"/>
    <x v="9"/>
    <x v="96"/>
    <n v="24.1"/>
    <n v="7.4"/>
    <n v="258.5"/>
  </r>
  <r>
    <x v="9"/>
    <x v="10"/>
    <x v="97"/>
    <n v="21.3"/>
    <n v="1.5"/>
    <n v="30.5"/>
  </r>
  <r>
    <x v="9"/>
    <x v="11"/>
    <x v="72"/>
    <n v="19.3"/>
    <n v="1"/>
    <n v="55"/>
  </r>
  <r>
    <x v="10"/>
    <x v="0"/>
    <x v="54"/>
    <n v="16.8"/>
    <n v="-2.1"/>
    <n v="113.5"/>
  </r>
  <r>
    <x v="10"/>
    <x v="1"/>
    <x v="89"/>
    <n v="14.6"/>
    <n v="-1.5"/>
    <n v="142"/>
  </r>
  <r>
    <x v="10"/>
    <x v="2"/>
    <x v="98"/>
    <n v="24.1"/>
    <n v="0.8"/>
    <n v="44"/>
  </r>
  <r>
    <x v="10"/>
    <x v="3"/>
    <x v="99"/>
    <n v="25.5"/>
    <n v="2.2999999999999998"/>
    <n v="186.5"/>
  </r>
  <r>
    <x v="10"/>
    <x v="4"/>
    <x v="100"/>
    <n v="26.7"/>
    <n v="9.4"/>
    <n v="116"/>
  </r>
  <r>
    <x v="10"/>
    <x v="5"/>
    <x v="19"/>
    <n v="31.2"/>
    <n v="14.7"/>
    <n v="107"/>
  </r>
  <r>
    <x v="10"/>
    <x v="6"/>
    <x v="101"/>
    <n v="32.1"/>
    <n v="17.899999999999999"/>
    <n v="301"/>
  </r>
  <r>
    <x v="10"/>
    <x v="7"/>
    <x v="18"/>
    <n v="35.200000000000003"/>
    <n v="19.100000000000001"/>
    <n v="94.5"/>
  </r>
  <r>
    <x v="10"/>
    <x v="8"/>
    <x v="102"/>
    <n v="31.6"/>
    <n v="16.2"/>
    <n v="281"/>
  </r>
  <r>
    <x v="10"/>
    <x v="9"/>
    <x v="103"/>
    <n v="26.2"/>
    <n v="10.9"/>
    <n v="43.5"/>
  </r>
  <r>
    <x v="10"/>
    <x v="10"/>
    <x v="87"/>
    <n v="22.9"/>
    <n v="3.1"/>
    <n v="43"/>
  </r>
  <r>
    <x v="10"/>
    <x v="11"/>
    <x v="22"/>
    <n v="16.899999999999999"/>
    <n v="0"/>
    <n v="155.5"/>
  </r>
  <r>
    <x v="11"/>
    <x v="0"/>
    <x v="104"/>
    <n v="17.3"/>
    <n v="-0.4"/>
    <n v="136"/>
  </r>
  <r>
    <x v="11"/>
    <x v="1"/>
    <x v="36"/>
    <n v="18"/>
    <n v="-1.9"/>
    <n v="45"/>
  </r>
  <r>
    <x v="11"/>
    <x v="2"/>
    <x v="105"/>
    <n v="22.4"/>
    <n v="-0.8"/>
    <n v="10"/>
  </r>
  <r>
    <x v="11"/>
    <x v="3"/>
    <x v="25"/>
    <n v="26.6"/>
    <n v="5.5"/>
    <n v="143"/>
  </r>
  <r>
    <x v="11"/>
    <x v="4"/>
    <x v="48"/>
    <n v="27.5"/>
    <n v="9.5"/>
    <n v="97.5"/>
  </r>
  <r>
    <x v="11"/>
    <x v="5"/>
    <x v="106"/>
    <n v="27.8"/>
    <n v="13.4"/>
    <n v="121.5"/>
  </r>
  <r>
    <x v="11"/>
    <x v="6"/>
    <x v="107"/>
    <n v="34.700000000000003"/>
    <n v="19.399999999999999"/>
    <n v="49.5"/>
  </r>
  <r>
    <x v="11"/>
    <x v="7"/>
    <x v="108"/>
    <n v="34.299999999999997"/>
    <n v="24"/>
    <n v="50"/>
  </r>
  <r>
    <x v="11"/>
    <x v="8"/>
    <x v="52"/>
    <n v="34.5"/>
    <n v="17.100000000000001"/>
    <n v="155"/>
  </r>
  <r>
    <x v="11"/>
    <x v="9"/>
    <x v="92"/>
    <n v="28.2"/>
    <n v="9.5"/>
    <n v="237.5"/>
  </r>
  <r>
    <x v="11"/>
    <x v="10"/>
    <x v="21"/>
    <n v="22"/>
    <n v="3"/>
    <n v="104.5"/>
  </r>
  <r>
    <x v="11"/>
    <x v="11"/>
    <x v="54"/>
    <n v="16.399999999999999"/>
    <n v="-1.7"/>
    <n v="0"/>
  </r>
  <r>
    <x v="12"/>
    <x v="0"/>
    <x v="34"/>
    <n v="13.6"/>
    <n v="-2"/>
    <n v="29"/>
  </r>
  <r>
    <x v="12"/>
    <x v="1"/>
    <x v="89"/>
    <n v="18.100000000000001"/>
    <n v="-2.7"/>
    <n v="58.5"/>
  </r>
  <r>
    <x v="12"/>
    <x v="2"/>
    <x v="109"/>
    <n v="20.100000000000001"/>
    <n v="-0.6"/>
    <n v="114"/>
  </r>
  <r>
    <x v="12"/>
    <x v="3"/>
    <x v="110"/>
    <n v="23.8"/>
    <n v="3.6"/>
    <n v="151"/>
  </r>
  <r>
    <x v="12"/>
    <x v="4"/>
    <x v="111"/>
    <n v="29.5"/>
    <n v="10.4"/>
    <n v="93.5"/>
  </r>
  <r>
    <x v="12"/>
    <x v="5"/>
    <x v="70"/>
    <n v="28.9"/>
    <n v="16.100000000000001"/>
    <n v="204.5"/>
  </r>
  <r>
    <x v="12"/>
    <x v="6"/>
    <x v="112"/>
    <n v="34.200000000000003"/>
    <n v="16.2"/>
    <n v="270.5"/>
  </r>
  <r>
    <x v="12"/>
    <x v="7"/>
    <x v="113"/>
    <n v="34.200000000000003"/>
    <n v="22.2"/>
    <n v="179"/>
  </r>
  <r>
    <x v="12"/>
    <x v="8"/>
    <x v="77"/>
    <n v="32.299999999999997"/>
    <n v="14.7"/>
    <n v="246.5"/>
  </r>
  <r>
    <x v="12"/>
    <x v="9"/>
    <x v="114"/>
    <n v="26.1"/>
    <n v="9.1"/>
    <n v="165"/>
  </r>
  <r>
    <x v="12"/>
    <x v="10"/>
    <x v="115"/>
    <n v="22.3"/>
    <n v="3.2"/>
    <n v="30.5"/>
  </r>
  <r>
    <x v="12"/>
    <x v="11"/>
    <x v="63"/>
    <n v="15.7"/>
    <n v="-0.1"/>
    <n v="38.5"/>
  </r>
  <r>
    <x v="13"/>
    <x v="0"/>
    <x v="35"/>
    <n v="17.600000000000001"/>
    <n v="-1.8"/>
    <n v="67.5"/>
  </r>
  <r>
    <x v="13"/>
    <x v="1"/>
    <x v="89"/>
    <n v="15"/>
    <n v="-2.6"/>
    <n v="75"/>
  </r>
  <r>
    <x v="13"/>
    <x v="2"/>
    <x v="72"/>
    <n v="18.600000000000001"/>
    <n v="-0.8"/>
    <n v="108"/>
  </r>
  <r>
    <x v="13"/>
    <x v="3"/>
    <x v="116"/>
    <n v="24"/>
    <n v="4.8"/>
    <n v="161.5"/>
  </r>
  <r>
    <x v="13"/>
    <x v="4"/>
    <x v="100"/>
    <n v="28.3"/>
    <n v="11.5"/>
    <n v="151"/>
  </r>
  <r>
    <x v="13"/>
    <x v="5"/>
    <x v="38"/>
    <n v="29.5"/>
    <n v="15.4"/>
    <n v="106.5"/>
  </r>
  <r>
    <x v="13"/>
    <x v="6"/>
    <x v="117"/>
    <n v="35.6"/>
    <n v="17.899999999999999"/>
    <n v="175.5"/>
  </r>
  <r>
    <x v="13"/>
    <x v="7"/>
    <x v="118"/>
    <n v="35.5"/>
    <n v="21"/>
    <n v="26.5"/>
  </r>
  <r>
    <x v="13"/>
    <x v="8"/>
    <x v="101"/>
    <n v="34.1"/>
    <n v="15.8"/>
    <n v="99.5"/>
  </r>
  <r>
    <x v="13"/>
    <x v="9"/>
    <x v="78"/>
    <n v="27.9"/>
    <n v="7.5"/>
    <n v="273"/>
  </r>
  <r>
    <x v="13"/>
    <x v="10"/>
    <x v="43"/>
    <n v="25.1"/>
    <n v="3.1"/>
    <n v="245"/>
  </r>
  <r>
    <x v="13"/>
    <x v="11"/>
    <x v="63"/>
    <n v="15.3"/>
    <n v="0.5"/>
    <n v="51.5"/>
  </r>
  <r>
    <x v="14"/>
    <x v="0"/>
    <x v="23"/>
    <n v="18.600000000000001"/>
    <n v="-3.9"/>
    <n v="0.5"/>
  </r>
  <r>
    <x v="14"/>
    <x v="1"/>
    <x v="88"/>
    <n v="18.3"/>
    <n v="-2.8"/>
    <n v="128"/>
  </r>
  <r>
    <x v="14"/>
    <x v="2"/>
    <x v="119"/>
    <n v="19.100000000000001"/>
    <n v="1.2"/>
    <n v="87"/>
  </r>
  <r>
    <x v="14"/>
    <x v="3"/>
    <x v="82"/>
    <n v="23.7"/>
    <n v="3.8"/>
    <n v="129"/>
  </r>
  <r>
    <x v="14"/>
    <x v="4"/>
    <x v="120"/>
    <n v="28.2"/>
    <n v="8.4"/>
    <n v="218"/>
  </r>
  <r>
    <x v="14"/>
    <x v="5"/>
    <x v="27"/>
    <n v="29.3"/>
    <n v="14.1"/>
    <n v="186"/>
  </r>
  <r>
    <x v="14"/>
    <x v="6"/>
    <x v="121"/>
    <n v="33.4"/>
    <n v="14"/>
    <n v="102"/>
  </r>
  <r>
    <x v="14"/>
    <x v="7"/>
    <x v="6"/>
    <n v="35.4"/>
    <n v="17.899999999999999"/>
    <n v="159"/>
  </r>
  <r>
    <x v="14"/>
    <x v="8"/>
    <x v="68"/>
    <n v="31.6"/>
    <n v="13.5"/>
    <n v="284"/>
  </r>
  <r>
    <x v="14"/>
    <x v="9"/>
    <x v="67"/>
    <n v="26.9"/>
    <n v="7.8"/>
    <n v="155"/>
  </r>
  <r>
    <x v="14"/>
    <x v="10"/>
    <x v="122"/>
    <n v="24.1"/>
    <n v="1.6"/>
    <n v="78"/>
  </r>
  <r>
    <x v="14"/>
    <x v="11"/>
    <x v="109"/>
    <n v="15.2"/>
    <n v="-2.2999999999999998"/>
    <n v="31"/>
  </r>
  <r>
    <x v="15"/>
    <x v="0"/>
    <x v="123"/>
    <n v="17.899999999999999"/>
    <n v="-2.7"/>
    <n v="19.5"/>
  </r>
  <r>
    <x v="15"/>
    <x v="1"/>
    <x v="55"/>
    <n v="20.3"/>
    <n v="-3.8"/>
    <n v="27"/>
  </r>
  <r>
    <x v="15"/>
    <x v="2"/>
    <x v="124"/>
    <n v="20.100000000000001"/>
    <n v="-3.3"/>
    <n v="167"/>
  </r>
  <r>
    <x v="15"/>
    <x v="3"/>
    <x v="125"/>
    <n v="25.8"/>
    <n v="5.3"/>
    <n v="110.5"/>
  </r>
  <r>
    <x v="15"/>
    <x v="4"/>
    <x v="126"/>
    <n v="30.5"/>
    <n v="10.4"/>
    <n v="96.5"/>
  </r>
  <r>
    <x v="15"/>
    <x v="5"/>
    <x v="5"/>
    <n v="29.5"/>
    <n v="14.1"/>
    <n v="202.5"/>
  </r>
  <r>
    <x v="15"/>
    <x v="6"/>
    <x v="94"/>
    <n v="33.6"/>
    <n v="17.399999999999999"/>
    <n v="91"/>
  </r>
  <r>
    <x v="15"/>
    <x v="7"/>
    <x v="75"/>
    <n v="34.9"/>
    <n v="17.600000000000001"/>
    <n v="290.5"/>
  </r>
  <r>
    <x v="15"/>
    <x v="8"/>
    <x v="127"/>
    <n v="32.299999999999997"/>
    <n v="16.5"/>
    <n v="233.5"/>
  </r>
  <r>
    <x v="15"/>
    <x v="9"/>
    <x v="126"/>
    <n v="27.6"/>
    <n v="10.6"/>
    <n v="60"/>
  </r>
  <r>
    <x v="15"/>
    <x v="10"/>
    <x v="110"/>
    <n v="26.7"/>
    <n v="5.3"/>
    <n v="102.5"/>
  </r>
  <r>
    <x v="15"/>
    <x v="11"/>
    <x v="128"/>
    <n v="22"/>
    <n v="0.3"/>
    <n v="53.5"/>
  </r>
  <r>
    <x v="16"/>
    <x v="0"/>
    <x v="129"/>
    <n v="16.3"/>
    <n v="-1.6"/>
    <n v="28"/>
  </r>
  <r>
    <x v="16"/>
    <x v="1"/>
    <x v="24"/>
    <n v="15.7"/>
    <n v="-2"/>
    <n v="32"/>
  </r>
  <r>
    <x v="16"/>
    <x v="2"/>
    <x v="130"/>
    <n v="18.8"/>
    <n v="1"/>
    <n v="115.5"/>
  </r>
  <r>
    <x v="16"/>
    <x v="3"/>
    <x v="15"/>
    <n v="24.5"/>
    <n v="4.5"/>
    <n v="186.5"/>
  </r>
  <r>
    <x v="16"/>
    <x v="4"/>
    <x v="131"/>
    <n v="26"/>
    <n v="8.6"/>
    <n v="130"/>
  </r>
  <r>
    <x v="16"/>
    <x v="5"/>
    <x v="132"/>
    <n v="31.6"/>
    <n v="15"/>
    <n v="104"/>
  </r>
  <r>
    <x v="16"/>
    <x v="6"/>
    <x v="29"/>
    <n v="33.6"/>
    <n v="21.5"/>
    <n v="45"/>
  </r>
  <r>
    <x v="16"/>
    <x v="7"/>
    <x v="133"/>
    <n v="36.299999999999997"/>
    <n v="21.9"/>
    <n v="26"/>
  </r>
  <r>
    <x v="16"/>
    <x v="8"/>
    <x v="41"/>
    <n v="33.1"/>
    <n v="15.8"/>
    <n v="124"/>
  </r>
  <r>
    <x v="16"/>
    <x v="9"/>
    <x v="78"/>
    <n v="26.6"/>
    <n v="10.4"/>
    <n v="147"/>
  </r>
  <r>
    <x v="16"/>
    <x v="10"/>
    <x v="53"/>
    <n v="22.1"/>
    <n v="5.4"/>
    <n v="65"/>
  </r>
  <r>
    <x v="16"/>
    <x v="11"/>
    <x v="134"/>
    <n v="18.899999999999999"/>
    <n v="0"/>
    <n v="27"/>
  </r>
  <r>
    <x v="17"/>
    <x v="0"/>
    <x v="54"/>
    <n v="16.600000000000001"/>
    <n v="-0.5"/>
    <n v="59"/>
  </r>
  <r>
    <x v="17"/>
    <x v="1"/>
    <x v="135"/>
    <n v="19.899999999999999"/>
    <n v="1.5"/>
    <n v="96"/>
  </r>
  <r>
    <x v="17"/>
    <x v="2"/>
    <x v="136"/>
    <n v="22.8"/>
    <n v="1.6"/>
    <n v="92"/>
  </r>
  <r>
    <x v="17"/>
    <x v="3"/>
    <x v="15"/>
    <n v="24"/>
    <n v="5.8"/>
    <n v="109.5"/>
  </r>
  <r>
    <x v="17"/>
    <x v="4"/>
    <x v="100"/>
    <n v="27.9"/>
    <n v="10.3"/>
    <n v="148.5"/>
  </r>
  <r>
    <x v="17"/>
    <x v="5"/>
    <x v="50"/>
    <n v="34.1"/>
    <n v="15.5"/>
    <n v="63"/>
  </r>
  <r>
    <x v="17"/>
    <x v="6"/>
    <x v="101"/>
    <n v="34.299999999999997"/>
    <n v="18.100000000000001"/>
    <n v="88.5"/>
  </r>
  <r>
    <x v="17"/>
    <x v="7"/>
    <x v="85"/>
    <n v="33.5"/>
    <n v="20.7"/>
    <n v="104.5"/>
  </r>
  <r>
    <x v="17"/>
    <x v="8"/>
    <x v="137"/>
    <n v="32.700000000000003"/>
    <n v="16.8"/>
    <n v="146.5"/>
  </r>
  <r>
    <x v="17"/>
    <x v="9"/>
    <x v="74"/>
    <n v="32.6"/>
    <n v="12.7"/>
    <n v="320.5"/>
  </r>
  <r>
    <x v="17"/>
    <x v="10"/>
    <x v="116"/>
    <n v="25.3"/>
    <n v="5.0999999999999996"/>
    <n v="182.5"/>
  </r>
  <r>
    <x v="17"/>
    <x v="11"/>
    <x v="138"/>
    <n v="18.7"/>
    <n v="3.3"/>
    <n v="43"/>
  </r>
  <r>
    <x v="18"/>
    <x v="0"/>
    <x v="129"/>
    <n v="18.8"/>
    <n v="-1.1000000000000001"/>
    <n v="88.5"/>
  </r>
  <r>
    <x v="18"/>
    <x v="1"/>
    <x v="139"/>
    <n v="13.3"/>
    <n v="-1.2"/>
    <n v="26"/>
  </r>
  <r>
    <x v="18"/>
    <x v="2"/>
    <x v="2"/>
    <n v="21.2"/>
    <n v="1.3"/>
    <n v="173.5"/>
  </r>
  <r>
    <x v="18"/>
    <x v="3"/>
    <x v="47"/>
    <n v="24"/>
    <n v="4.5999999999999996"/>
    <n v="107"/>
  </r>
  <r>
    <x v="18"/>
    <x v="4"/>
    <x v="140"/>
    <n v="29.5"/>
    <n v="9.6"/>
    <n v="154.5"/>
  </r>
  <r>
    <x v="18"/>
    <x v="5"/>
    <x v="141"/>
    <n v="31.6"/>
    <n v="17.7"/>
    <n v="172.5"/>
  </r>
  <r>
    <x v="18"/>
    <x v="6"/>
    <x v="132"/>
    <n v="33"/>
    <n v="16.399999999999999"/>
    <n v="202"/>
  </r>
  <r>
    <x v="18"/>
    <x v="7"/>
    <x v="112"/>
    <n v="32.200000000000003"/>
    <n v="17.600000000000001"/>
    <n v="168.5"/>
  </r>
  <r>
    <x v="18"/>
    <x v="8"/>
    <x v="59"/>
    <n v="31.9"/>
    <n v="13.2"/>
    <n v="181.5"/>
  </r>
  <r>
    <x v="18"/>
    <x v="9"/>
    <x v="142"/>
    <n v="28.8"/>
    <n v="8.6999999999999993"/>
    <n v="136"/>
  </r>
  <r>
    <x v="18"/>
    <x v="10"/>
    <x v="82"/>
    <n v="21.8"/>
    <n v="5.0999999999999996"/>
    <n v="133.5"/>
  </r>
  <r>
    <x v="18"/>
    <x v="11"/>
    <x v="143"/>
    <n v="19.3"/>
    <n v="-0.7"/>
    <n v="34"/>
  </r>
  <r>
    <x v="19"/>
    <x v="0"/>
    <x v="34"/>
    <n v="12"/>
    <n v="-2.2000000000000002"/>
    <n v="3.5"/>
  </r>
  <r>
    <x v="19"/>
    <x v="1"/>
    <x v="144"/>
    <n v="17.2"/>
    <n v="-3.5"/>
    <n v="38"/>
  </r>
  <r>
    <x v="19"/>
    <x v="2"/>
    <x v="119"/>
    <n v="20.6"/>
    <n v="0.2"/>
    <n v="113"/>
  </r>
  <r>
    <x v="19"/>
    <x v="3"/>
    <x v="15"/>
    <n v="23.9"/>
    <n v="2.7"/>
    <n v="166"/>
  </r>
  <r>
    <x v="19"/>
    <x v="4"/>
    <x v="67"/>
    <n v="28.4"/>
    <n v="10.199999999999999"/>
    <n v="151.5"/>
  </r>
  <r>
    <x v="19"/>
    <x v="5"/>
    <x v="145"/>
    <n v="32"/>
    <n v="12.4"/>
    <n v="103"/>
  </r>
  <r>
    <x v="19"/>
    <x v="6"/>
    <x v="60"/>
    <n v="34.299999999999997"/>
    <n v="17"/>
    <n v="167"/>
  </r>
  <r>
    <x v="19"/>
    <x v="7"/>
    <x v="146"/>
    <n v="33.9"/>
    <n v="20"/>
    <n v="133"/>
  </r>
  <r>
    <x v="19"/>
    <x v="8"/>
    <x v="16"/>
    <n v="31.6"/>
    <n v="15.6"/>
    <n v="138.5"/>
  </r>
  <r>
    <x v="19"/>
    <x v="9"/>
    <x v="147"/>
    <n v="26.7"/>
    <n v="10.1"/>
    <n v="343.5"/>
  </r>
  <r>
    <x v="19"/>
    <x v="10"/>
    <x v="148"/>
    <n v="21.4"/>
    <n v="2.4"/>
    <n v="99"/>
  </r>
  <r>
    <x v="19"/>
    <x v="11"/>
    <x v="14"/>
    <n v="16.2"/>
    <n v="0.4"/>
    <n v="7.5"/>
  </r>
  <r>
    <x v="20"/>
    <x v="0"/>
    <x v="149"/>
    <n v="16.8"/>
    <n v="-1"/>
    <n v="32.5"/>
  </r>
  <r>
    <x v="20"/>
    <x v="1"/>
    <x v="81"/>
    <n v="13.1"/>
    <n v="-1"/>
    <n v="51.5"/>
  </r>
  <r>
    <x v="20"/>
    <x v="2"/>
    <x v="136"/>
    <n v="21.3"/>
    <n v="1.2"/>
    <n v="73"/>
  </r>
  <r>
    <x v="20"/>
    <x v="3"/>
    <x v="150"/>
    <n v="23.2"/>
    <n v="4.7"/>
    <n v="134"/>
  </r>
  <r>
    <x v="20"/>
    <x v="4"/>
    <x v="83"/>
    <n v="28.7"/>
    <n v="11.9"/>
    <n v="85.5"/>
  </r>
  <r>
    <x v="20"/>
    <x v="5"/>
    <x v="19"/>
    <n v="29.4"/>
    <n v="14.8"/>
    <n v="224.5"/>
  </r>
  <r>
    <x v="20"/>
    <x v="6"/>
    <x v="102"/>
    <n v="31.2"/>
    <n v="16.100000000000001"/>
    <n v="140"/>
  </r>
  <r>
    <x v="20"/>
    <x v="7"/>
    <x v="113"/>
    <n v="33"/>
    <n v="22"/>
    <n v="152.5"/>
  </r>
  <r>
    <x v="20"/>
    <x v="8"/>
    <x v="30"/>
    <n v="31.3"/>
    <n v="17"/>
    <n v="371.5"/>
  </r>
  <r>
    <x v="20"/>
    <x v="9"/>
    <x v="151"/>
    <n v="27.3"/>
    <n v="9.5"/>
    <n v="159.5"/>
  </r>
  <r>
    <x v="20"/>
    <x v="10"/>
    <x v="116"/>
    <n v="25.3"/>
    <n v="3.5"/>
    <n v="136"/>
  </r>
  <r>
    <x v="20"/>
    <x v="11"/>
    <x v="56"/>
    <n v="20.9"/>
    <n v="1.4"/>
    <n v="15"/>
  </r>
  <r>
    <x v="21"/>
    <x v="0"/>
    <x v="152"/>
    <n v="16.5"/>
    <n v="-2.4"/>
    <n v="29.5"/>
  </r>
  <r>
    <x v="21"/>
    <x v="1"/>
    <x v="153"/>
    <n v="15"/>
    <n v="-0.9"/>
    <n v="50.5"/>
  </r>
  <r>
    <x v="21"/>
    <x v="2"/>
    <x v="154"/>
    <n v="17.2"/>
    <n v="1.3"/>
    <n v="99"/>
  </r>
  <r>
    <x v="21"/>
    <x v="3"/>
    <x v="31"/>
    <n v="26.8"/>
    <n v="7.8"/>
    <n v="114.5"/>
  </r>
  <r>
    <x v="21"/>
    <x v="4"/>
    <x v="155"/>
    <n v="28.5"/>
    <n v="11"/>
    <n v="105.5"/>
  </r>
  <r>
    <x v="21"/>
    <x v="5"/>
    <x v="156"/>
    <n v="29.8"/>
    <n v="13.6"/>
    <n v="198"/>
  </r>
  <r>
    <x v="21"/>
    <x v="6"/>
    <x v="132"/>
    <n v="32.9"/>
    <n v="15.1"/>
    <n v="141.5"/>
  </r>
  <r>
    <x v="21"/>
    <x v="7"/>
    <x v="157"/>
    <n v="37.1"/>
    <n v="21.2"/>
    <n v="168.5"/>
  </r>
  <r>
    <x v="21"/>
    <x v="8"/>
    <x v="102"/>
    <n v="33.299999999999997"/>
    <n v="14.9"/>
    <n v="242.5"/>
  </r>
  <r>
    <x v="21"/>
    <x v="9"/>
    <x v="120"/>
    <n v="27.9"/>
    <n v="7.3"/>
    <n v="130"/>
  </r>
  <r>
    <x v="21"/>
    <x v="10"/>
    <x v="87"/>
    <n v="21.6"/>
    <n v="2.2000000000000002"/>
    <n v="53.5"/>
  </r>
  <r>
    <x v="21"/>
    <x v="11"/>
    <x v="158"/>
    <n v="17.3"/>
    <n v="-0.6"/>
    <n v="7.5"/>
  </r>
  <r>
    <x v="22"/>
    <x v="0"/>
    <x v="159"/>
    <n v="14.6"/>
    <n v="-2.5"/>
    <n v="50"/>
  </r>
  <r>
    <x v="22"/>
    <x v="1"/>
    <x v="160"/>
    <n v="12.8"/>
    <n v="-3.5"/>
    <n v="51"/>
  </r>
  <r>
    <x v="22"/>
    <x v="2"/>
    <x v="1"/>
    <n v="19.100000000000001"/>
    <n v="-1.5"/>
    <n v="69"/>
  </r>
  <r>
    <x v="22"/>
    <x v="3"/>
    <x v="161"/>
    <n v="24"/>
    <n v="1.8"/>
    <n v="64"/>
  </r>
  <r>
    <x v="22"/>
    <x v="4"/>
    <x v="37"/>
    <n v="27.7"/>
    <n v="9.3000000000000007"/>
    <n v="77.5"/>
  </r>
  <r>
    <x v="22"/>
    <x v="5"/>
    <x v="16"/>
    <n v="31.5"/>
    <n v="16.5"/>
    <n v="202"/>
  </r>
  <r>
    <x v="22"/>
    <x v="6"/>
    <x v="146"/>
    <n v="33.6"/>
    <n v="17.5"/>
    <n v="81.5"/>
  </r>
  <r>
    <x v="22"/>
    <x v="7"/>
    <x v="162"/>
    <n v="35"/>
    <n v="21.8"/>
    <n v="31.5"/>
  </r>
  <r>
    <x v="22"/>
    <x v="8"/>
    <x v="163"/>
    <n v="38.1"/>
    <n v="15.7"/>
    <n v="61"/>
  </r>
  <r>
    <x v="22"/>
    <x v="9"/>
    <x v="120"/>
    <n v="30.4"/>
    <n v="7.7"/>
    <n v="73.5"/>
  </r>
  <r>
    <x v="22"/>
    <x v="10"/>
    <x v="164"/>
    <n v="22.7"/>
    <n v="3.7"/>
    <n v="50.5"/>
  </r>
  <r>
    <x v="22"/>
    <x v="11"/>
    <x v="143"/>
    <n v="19.8"/>
    <n v="-1.1000000000000001"/>
    <n v="68"/>
  </r>
  <r>
    <x v="23"/>
    <x v="0"/>
    <x v="165"/>
    <n v="13.5"/>
    <n v="-2.5"/>
    <n v="4.5"/>
  </r>
  <r>
    <x v="23"/>
    <x v="1"/>
    <x v="166"/>
    <n v="14.7"/>
    <n v="-1.3"/>
    <n v="142"/>
  </r>
  <r>
    <x v="23"/>
    <x v="2"/>
    <x v="105"/>
    <n v="20.3"/>
    <n v="1.3"/>
    <n v="134.5"/>
  </r>
  <r>
    <x v="23"/>
    <x v="3"/>
    <x v="167"/>
    <n v="23.7"/>
    <n v="3.3"/>
    <n v="201.5"/>
  </r>
  <r>
    <x v="23"/>
    <x v="4"/>
    <x v="168"/>
    <n v="26.5"/>
    <n v="12.2"/>
    <n v="89.5"/>
  </r>
  <r>
    <x v="23"/>
    <x v="5"/>
    <x v="145"/>
    <n v="30.1"/>
    <n v="13.2"/>
    <n v="381"/>
  </r>
  <r>
    <x v="23"/>
    <x v="6"/>
    <x v="60"/>
    <n v="34.299999999999997"/>
    <n v="19.7"/>
    <n v="115"/>
  </r>
  <r>
    <x v="23"/>
    <x v="7"/>
    <x v="169"/>
    <n v="33.9"/>
    <n v="22.6"/>
    <n v="146"/>
  </r>
  <r>
    <x v="23"/>
    <x v="8"/>
    <x v="102"/>
    <n v="35"/>
    <n v="14.5"/>
    <n v="106"/>
  </r>
  <r>
    <x v="23"/>
    <x v="9"/>
    <x v="48"/>
    <n v="29"/>
    <n v="10"/>
    <n v="92.5"/>
  </r>
  <r>
    <x v="23"/>
    <x v="10"/>
    <x v="170"/>
    <n v="24.5"/>
    <n v="3.6"/>
    <n v="85.5"/>
  </r>
  <r>
    <x v="23"/>
    <x v="11"/>
    <x v="171"/>
    <n v="18.8"/>
    <n v="-0.5"/>
    <n v="18.5"/>
  </r>
  <r>
    <x v="24"/>
    <x v="0"/>
    <x v="0"/>
    <n v="11.8"/>
    <n v="-1.3"/>
    <n v="15"/>
  </r>
  <r>
    <x v="24"/>
    <x v="1"/>
    <x v="65"/>
    <n v="14.5"/>
    <n v="-1.6"/>
    <n v="27.5"/>
  </r>
  <r>
    <x v="24"/>
    <x v="2"/>
    <x v="105"/>
    <n v="18.100000000000001"/>
    <n v="0"/>
    <n v="188"/>
  </r>
  <r>
    <x v="24"/>
    <x v="3"/>
    <x v="15"/>
    <n v="23"/>
    <n v="4.5999999999999996"/>
    <n v="88"/>
  </r>
  <r>
    <x v="24"/>
    <x v="4"/>
    <x v="48"/>
    <n v="26.9"/>
    <n v="11.2"/>
    <n v="210"/>
  </r>
  <r>
    <x v="24"/>
    <x v="5"/>
    <x v="95"/>
    <n v="31.5"/>
    <n v="13.8"/>
    <n v="138"/>
  </r>
  <r>
    <x v="24"/>
    <x v="6"/>
    <x v="121"/>
    <n v="33.4"/>
    <n v="16.7"/>
    <n v="137"/>
  </r>
  <r>
    <x v="24"/>
    <x v="7"/>
    <x v="172"/>
    <n v="34.6"/>
    <n v="19.600000000000001"/>
    <n v="233.5"/>
  </r>
  <r>
    <x v="24"/>
    <x v="8"/>
    <x v="173"/>
    <n v="34.5"/>
    <n v="15.8"/>
    <n v="190.5"/>
  </r>
  <r>
    <x v="24"/>
    <x v="9"/>
    <x v="174"/>
    <n v="26.6"/>
    <n v="8"/>
    <n v="74"/>
  </r>
  <r>
    <x v="24"/>
    <x v="10"/>
    <x v="87"/>
    <n v="21.7"/>
    <n v="5"/>
    <n v="41"/>
  </r>
  <r>
    <x v="24"/>
    <x v="11"/>
    <x v="134"/>
    <n v="17.8"/>
    <n v="0.5"/>
    <n v="115.5"/>
  </r>
  <r>
    <x v="25"/>
    <x v="0"/>
    <x v="149"/>
    <n v="18"/>
    <n v="-0.4"/>
    <n v="38"/>
  </r>
  <r>
    <x v="25"/>
    <x v="1"/>
    <x v="88"/>
    <n v="23"/>
    <n v="-0.7"/>
    <n v="29.5"/>
  </r>
  <r>
    <x v="25"/>
    <x v="2"/>
    <x v="124"/>
    <n v="20.5"/>
    <n v="0"/>
    <n v="94"/>
  </r>
  <r>
    <x v="25"/>
    <x v="3"/>
    <x v="175"/>
    <n v="26.6"/>
    <n v="2.2000000000000002"/>
    <n v="42.5"/>
  </r>
  <r>
    <x v="25"/>
    <x v="4"/>
    <x v="111"/>
    <n v="27.9"/>
    <n v="9.1999999999999993"/>
    <n v="65"/>
  </r>
  <r>
    <x v="25"/>
    <x v="5"/>
    <x v="176"/>
    <n v="32.299999999999997"/>
    <n v="15.3"/>
    <n v="120.5"/>
  </r>
  <r>
    <x v="25"/>
    <x v="6"/>
    <x v="177"/>
    <n v="37.299999999999997"/>
    <n v="19.100000000000001"/>
    <n v="146.5"/>
  </r>
  <r>
    <x v="25"/>
    <x v="7"/>
    <x v="118"/>
    <n v="34"/>
    <n v="20.5"/>
    <n v="45.5"/>
  </r>
  <r>
    <x v="25"/>
    <x v="8"/>
    <x v="178"/>
    <n v="34.799999999999997"/>
    <n v="15.5"/>
    <n v="214.5"/>
  </r>
  <r>
    <x v="25"/>
    <x v="9"/>
    <x v="26"/>
    <n v="28.2"/>
    <n v="12.3"/>
    <n v="193"/>
  </r>
  <r>
    <x v="25"/>
    <x v="10"/>
    <x v="79"/>
    <n v="25.6"/>
    <n v="3.9"/>
    <n v="39.5"/>
  </r>
  <r>
    <x v="25"/>
    <x v="11"/>
    <x v="22"/>
    <n v="21.5"/>
    <n v="0.3"/>
    <n v="60.5"/>
  </r>
  <r>
    <x v="26"/>
    <x v="0"/>
    <x v="143"/>
    <n v="16.899999999999999"/>
    <n v="0.6"/>
    <n v="28"/>
  </r>
  <r>
    <x v="26"/>
    <x v="1"/>
    <x v="55"/>
    <n v="19.7"/>
    <n v="-1.7"/>
    <n v="17.5"/>
  </r>
  <r>
    <x v="26"/>
    <x v="2"/>
    <x v="135"/>
    <n v="21.3"/>
    <n v="1.3"/>
    <n v="185"/>
  </r>
  <r>
    <x v="26"/>
    <x v="3"/>
    <x v="116"/>
    <n v="27.7"/>
    <n v="0.7"/>
    <n v="107.5"/>
  </r>
  <r>
    <x v="26"/>
    <x v="4"/>
    <x v="142"/>
    <n v="29.2"/>
    <n v="9.8000000000000007"/>
    <n v="144"/>
  </r>
  <r>
    <x v="26"/>
    <x v="5"/>
    <x v="30"/>
    <n v="29.9"/>
    <n v="17.2"/>
    <n v="198"/>
  </r>
  <r>
    <x v="26"/>
    <x v="6"/>
    <x v="179"/>
    <n v="32.6"/>
    <n v="17.2"/>
    <n v="158"/>
  </r>
  <r>
    <x v="26"/>
    <x v="7"/>
    <x v="177"/>
    <n v="32.9"/>
    <n v="21.6"/>
    <n v="341.5"/>
  </r>
  <r>
    <x v="26"/>
    <x v="8"/>
    <x v="77"/>
    <n v="31.2"/>
    <n v="17.5"/>
    <n v="251.5"/>
  </r>
  <r>
    <x v="26"/>
    <x v="9"/>
    <x v="67"/>
    <n v="24.9"/>
    <n v="8.8000000000000007"/>
    <n v="58.5"/>
  </r>
  <r>
    <x v="26"/>
    <x v="10"/>
    <x v="180"/>
    <n v="22.5"/>
    <n v="2.4"/>
    <n v="26"/>
  </r>
  <r>
    <x v="26"/>
    <x v="11"/>
    <x v="135"/>
    <n v="17.899999999999999"/>
    <n v="0.8"/>
    <n v="0"/>
  </r>
  <r>
    <x v="27"/>
    <x v="0"/>
    <x v="22"/>
    <n v="19.2"/>
    <n v="0.9"/>
    <n v="95"/>
  </r>
  <r>
    <x v="27"/>
    <x v="1"/>
    <x v="33"/>
    <n v="17.2"/>
    <n v="1.9"/>
    <n v="107"/>
  </r>
  <r>
    <x v="27"/>
    <x v="2"/>
    <x v="46"/>
    <n v="20.2"/>
    <n v="1.7"/>
    <n v="118"/>
  </r>
  <r>
    <x v="27"/>
    <x v="3"/>
    <x v="181"/>
    <n v="24"/>
    <n v="7.5"/>
    <n v="187"/>
  </r>
  <r>
    <x v="27"/>
    <x v="4"/>
    <x v="120"/>
    <n v="25.4"/>
    <n v="10.1"/>
    <n v="210"/>
  </r>
  <r>
    <x v="27"/>
    <x v="5"/>
    <x v="83"/>
    <n v="31.1"/>
    <n v="11.7"/>
    <n v="205"/>
  </r>
  <r>
    <x v="27"/>
    <x v="6"/>
    <x v="137"/>
    <n v="31.5"/>
    <n v="15.1"/>
    <n v="154"/>
  </r>
  <r>
    <x v="27"/>
    <x v="7"/>
    <x v="113"/>
    <n v="33.5"/>
    <n v="21.8"/>
    <n v="360.5"/>
  </r>
  <r>
    <x v="27"/>
    <x v="8"/>
    <x v="101"/>
    <n v="32.299999999999997"/>
    <n v="18.100000000000001"/>
    <n v="204"/>
  </r>
  <r>
    <x v="27"/>
    <x v="9"/>
    <x v="67"/>
    <n v="25.9"/>
    <n v="11.2"/>
    <n v="197"/>
  </r>
  <r>
    <x v="27"/>
    <x v="10"/>
    <x v="167"/>
    <n v="22.5"/>
    <n v="5.8"/>
    <n v="71"/>
  </r>
  <r>
    <x v="27"/>
    <x v="11"/>
    <x v="182"/>
    <n v="20.100000000000001"/>
    <n v="2.4"/>
    <n v="29"/>
  </r>
  <r>
    <x v="28"/>
    <x v="0"/>
    <x v="183"/>
    <n v="16.3"/>
    <n v="-1.4"/>
    <n v="32.5"/>
  </r>
  <r>
    <x v="28"/>
    <x v="1"/>
    <x v="105"/>
    <n v="19.399999999999999"/>
    <n v="0.1"/>
    <n v="116.5"/>
  </r>
  <r>
    <x v="28"/>
    <x v="2"/>
    <x v="184"/>
    <n v="21.3"/>
    <n v="4.3"/>
    <n v="97.5"/>
  </r>
  <r>
    <x v="28"/>
    <x v="3"/>
    <x v="185"/>
    <n v="24.2"/>
    <n v="6.1"/>
    <n v="137.5"/>
  </r>
  <r>
    <x v="28"/>
    <x v="4"/>
    <x v="140"/>
    <n v="28.4"/>
    <n v="11"/>
    <n v="120.5"/>
  </r>
  <r>
    <x v="28"/>
    <x v="5"/>
    <x v="163"/>
    <n v="34.1"/>
    <n v="16.399999999999999"/>
    <n v="68"/>
  </r>
  <r>
    <x v="28"/>
    <x v="6"/>
    <x v="17"/>
    <n v="34.6"/>
    <n v="17.899999999999999"/>
    <n v="51"/>
  </r>
  <r>
    <x v="28"/>
    <x v="7"/>
    <x v="162"/>
    <n v="35.9"/>
    <n v="22.6"/>
    <n v="181.5"/>
  </r>
  <r>
    <x v="28"/>
    <x v="8"/>
    <x v="186"/>
    <n v="34"/>
    <n v="16.8"/>
    <n v="287"/>
  </r>
  <r>
    <x v="28"/>
    <x v="9"/>
    <x v="140"/>
    <n v="28.2"/>
    <n v="11.6"/>
    <n v="148.5"/>
  </r>
  <r>
    <x v="28"/>
    <x v="10"/>
    <x v="125"/>
    <n v="25.7"/>
    <n v="5.8"/>
    <n v="234"/>
  </r>
  <r>
    <x v="28"/>
    <x v="11"/>
    <x v="66"/>
    <n v="23.5"/>
    <n v="3.1"/>
    <n v="38"/>
  </r>
  <r>
    <x v="29"/>
    <x v="0"/>
    <x v="104"/>
    <n v="14.4"/>
    <n v="0.1"/>
    <n v="55"/>
  </r>
  <r>
    <x v="29"/>
    <x v="1"/>
    <x v="166"/>
    <n v="16.600000000000001"/>
    <n v="-0.8"/>
    <n v="69"/>
  </r>
  <r>
    <x v="29"/>
    <x v="2"/>
    <x v="56"/>
    <n v="22.3"/>
    <n v="1.6"/>
    <n v="164"/>
  </r>
  <r>
    <x v="29"/>
    <x v="3"/>
    <x v="187"/>
    <n v="24.7"/>
    <n v="5"/>
    <n v="112.5"/>
  </r>
  <r>
    <x v="29"/>
    <x v="4"/>
    <x v="188"/>
    <n v="27.9"/>
    <n v="7.8"/>
    <n v="61"/>
  </r>
  <r>
    <x v="29"/>
    <x v="5"/>
    <x v="141"/>
    <n v="34.200000000000003"/>
    <n v="16.7"/>
    <n v="142"/>
  </r>
  <r>
    <x v="29"/>
    <x v="6"/>
    <x v="40"/>
    <n v="35.6"/>
    <n v="20.100000000000001"/>
    <n v="72"/>
  </r>
  <r>
    <x v="29"/>
    <x v="7"/>
    <x v="28"/>
    <n v="35.200000000000003"/>
    <n v="19.600000000000001"/>
    <n v="238"/>
  </r>
  <r>
    <x v="29"/>
    <x v="8"/>
    <x v="121"/>
    <n v="32.200000000000003"/>
    <n v="16.899999999999999"/>
    <n v="445.5"/>
  </r>
  <r>
    <x v="29"/>
    <x v="9"/>
    <x v="189"/>
    <n v="28.1"/>
    <n v="12.3"/>
    <n v="533"/>
  </r>
  <r>
    <x v="29"/>
    <x v="10"/>
    <x v="82"/>
    <n v="19.899999999999999"/>
    <n v="4.7"/>
    <n v="114"/>
  </r>
  <r>
    <x v="29"/>
    <x v="11"/>
    <x v="182"/>
    <n v="18.8"/>
    <n v="0.9"/>
    <n v="36"/>
  </r>
  <r>
    <x v="30"/>
    <x v="0"/>
    <x v="88"/>
    <n v="15.1"/>
    <n v="0.3"/>
    <n v="50"/>
  </r>
  <r>
    <x v="30"/>
    <x v="1"/>
    <x v="36"/>
    <n v="20.100000000000001"/>
    <n v="-0.5"/>
    <n v="36"/>
  </r>
  <r>
    <x v="30"/>
    <x v="2"/>
    <x v="98"/>
    <n v="21.7"/>
    <n v="1.7"/>
    <n v="205"/>
  </r>
  <r>
    <x v="30"/>
    <x v="3"/>
    <x v="125"/>
    <n v="24.1"/>
    <n v="5.0999999999999996"/>
    <n v="167.5"/>
  </r>
  <r>
    <x v="30"/>
    <x v="4"/>
    <x v="78"/>
    <n v="27.8"/>
    <n v="9.3000000000000007"/>
    <n v="134"/>
  </r>
  <r>
    <x v="30"/>
    <x v="5"/>
    <x v="190"/>
    <n v="28"/>
    <n v="14.2"/>
    <n v="237"/>
  </r>
  <r>
    <x v="30"/>
    <x v="6"/>
    <x v="28"/>
    <n v="34.700000000000003"/>
    <n v="17"/>
    <n v="111.5"/>
  </r>
  <r>
    <x v="30"/>
    <x v="7"/>
    <x v="177"/>
    <n v="34.200000000000003"/>
    <n v="18.899999999999999"/>
    <n v="9"/>
  </r>
  <r>
    <x v="30"/>
    <x v="8"/>
    <x v="178"/>
    <n v="35.200000000000003"/>
    <n v="14.1"/>
    <n v="108"/>
  </r>
  <r>
    <x v="30"/>
    <x v="9"/>
    <x v="78"/>
    <n v="27.3"/>
    <n v="10.1"/>
    <n v="328"/>
  </r>
  <r>
    <x v="30"/>
    <x v="10"/>
    <x v="82"/>
    <n v="22.5"/>
    <n v="4.4000000000000004"/>
    <n v="168"/>
  </r>
  <r>
    <x v="30"/>
    <x v="11"/>
    <x v="191"/>
    <n v="20.6"/>
    <n v="1"/>
    <n v="65.5"/>
  </r>
  <r>
    <x v="31"/>
    <x v="0"/>
    <x v="152"/>
    <n v="12.9"/>
    <n v="1.2"/>
    <n v="115"/>
  </r>
  <r>
    <x v="31"/>
    <x v="1"/>
    <x v="143"/>
    <n v="21.9"/>
    <n v="0.7"/>
    <n v="57"/>
  </r>
  <r>
    <x v="31"/>
    <x v="2"/>
    <x v="130"/>
    <n v="18.3"/>
    <n v="1.5"/>
    <n v="60.5"/>
  </r>
  <r>
    <x v="31"/>
    <x v="3"/>
    <x v="99"/>
    <n v="26.9"/>
    <n v="4.8"/>
    <n v="58"/>
  </r>
  <r>
    <x v="31"/>
    <x v="4"/>
    <x v="189"/>
    <n v="30.7"/>
    <n v="8.3000000000000007"/>
    <n v="65.5"/>
  </r>
  <r>
    <x v="31"/>
    <x v="5"/>
    <x v="192"/>
    <n v="31.9"/>
    <n v="14.3"/>
    <n v="260"/>
  </r>
  <r>
    <x v="31"/>
    <x v="6"/>
    <x v="193"/>
    <n v="32.299999999999997"/>
    <n v="16.399999999999999"/>
    <n v="316.5"/>
  </r>
  <r>
    <x v="31"/>
    <x v="7"/>
    <x v="186"/>
    <n v="32.9"/>
    <n v="18.399999999999999"/>
    <n v="412"/>
  </r>
  <r>
    <x v="31"/>
    <x v="8"/>
    <x v="194"/>
    <n v="32.1"/>
    <n v="14.9"/>
    <n v="140"/>
  </r>
  <r>
    <x v="31"/>
    <x v="9"/>
    <x v="67"/>
    <n v="25.3"/>
    <n v="8.6"/>
    <n v="156"/>
  </r>
  <r>
    <x v="31"/>
    <x v="10"/>
    <x v="3"/>
    <n v="24"/>
    <n v="5.2"/>
    <n v="167"/>
  </r>
  <r>
    <x v="31"/>
    <x v="11"/>
    <x v="134"/>
    <n v="21.1"/>
    <n v="0.7"/>
    <n v="65"/>
  </r>
  <r>
    <x v="32"/>
    <x v="0"/>
    <x v="81"/>
    <n v="16.8"/>
    <n v="-1.3"/>
    <n v="50"/>
  </r>
  <r>
    <x v="32"/>
    <x v="1"/>
    <x v="54"/>
    <n v="16"/>
    <n v="-2.2999999999999998"/>
    <n v="88.5"/>
  </r>
  <r>
    <x v="32"/>
    <x v="2"/>
    <x v="22"/>
    <n v="18.7"/>
    <n v="2.2999999999999998"/>
    <n v="114.5"/>
  </r>
  <r>
    <x v="32"/>
    <x v="3"/>
    <x v="195"/>
    <n v="24.4"/>
    <n v="4.3"/>
    <n v="49"/>
  </r>
  <r>
    <x v="32"/>
    <x v="4"/>
    <x v="196"/>
    <n v="29.3"/>
    <n v="10.8"/>
    <n v="133.5"/>
  </r>
  <r>
    <x v="32"/>
    <x v="5"/>
    <x v="179"/>
    <n v="31.7"/>
    <n v="14.3"/>
    <n v="144.5"/>
  </r>
  <r>
    <x v="32"/>
    <x v="6"/>
    <x v="197"/>
    <n v="35.6"/>
    <n v="22.6"/>
    <n v="93.5"/>
  </r>
  <r>
    <x v="32"/>
    <x v="7"/>
    <x v="133"/>
    <n v="39.1"/>
    <n v="20.399999999999999"/>
    <n v="92.5"/>
  </r>
  <r>
    <x v="32"/>
    <x v="8"/>
    <x v="186"/>
    <n v="32.9"/>
    <n v="18.3"/>
    <n v="235"/>
  </r>
  <r>
    <x v="32"/>
    <x v="9"/>
    <x v="145"/>
    <n v="27.9"/>
    <n v="11.9"/>
    <n v="57"/>
  </r>
  <r>
    <x v="32"/>
    <x v="10"/>
    <x v="99"/>
    <n v="23.9"/>
    <n v="4.5"/>
    <n v="50.5"/>
  </r>
  <r>
    <x v="32"/>
    <x v="11"/>
    <x v="119"/>
    <n v="17.7"/>
    <n v="1.4"/>
    <n v="23"/>
  </r>
  <r>
    <x v="33"/>
    <x v="0"/>
    <x v="104"/>
    <n v="16.100000000000001"/>
    <n v="-1.2"/>
    <n v="36"/>
  </r>
  <r>
    <x v="33"/>
    <x v="1"/>
    <x v="166"/>
    <n v="13.9"/>
    <n v="0.1"/>
    <n v="27"/>
  </r>
  <r>
    <x v="33"/>
    <x v="2"/>
    <x v="128"/>
    <n v="19.899999999999999"/>
    <n v="1"/>
    <n v="180"/>
  </r>
  <r>
    <x v="33"/>
    <x v="3"/>
    <x v="198"/>
    <n v="25.5"/>
    <n v="4.9000000000000004"/>
    <n v="99.5"/>
  </r>
  <r>
    <x v="33"/>
    <x v="4"/>
    <x v="168"/>
    <n v="26.7"/>
    <n v="12.9"/>
    <n v="204.5"/>
  </r>
  <r>
    <x v="33"/>
    <x v="5"/>
    <x v="199"/>
    <n v="28.8"/>
    <n v="14.9"/>
    <n v="185.5"/>
  </r>
  <r>
    <x v="33"/>
    <x v="6"/>
    <x v="200"/>
    <n v="35.9"/>
    <n v="19.399999999999999"/>
    <n v="171"/>
  </r>
  <r>
    <x v="33"/>
    <x v="7"/>
    <x v="201"/>
    <n v="36.4"/>
    <n v="24.5"/>
    <n v="31"/>
  </r>
  <r>
    <x v="33"/>
    <x v="8"/>
    <x v="173"/>
    <n v="35.799999999999997"/>
    <n v="15.1"/>
    <n v="164.5"/>
  </r>
  <r>
    <x v="33"/>
    <x v="9"/>
    <x v="196"/>
    <n v="27.8"/>
    <n v="12.3"/>
    <n v="79"/>
  </r>
  <r>
    <x v="33"/>
    <x v="10"/>
    <x v="43"/>
    <n v="23.9"/>
    <n v="5.2"/>
    <n v="42"/>
  </r>
  <r>
    <x v="33"/>
    <x v="11"/>
    <x v="143"/>
    <n v="16.7"/>
    <n v="-0.6"/>
    <n v="0"/>
  </r>
  <r>
    <x v="34"/>
    <x v="0"/>
    <x v="54"/>
    <n v="19.899999999999999"/>
    <n v="-0.4"/>
    <n v="13"/>
  </r>
  <r>
    <x v="34"/>
    <x v="1"/>
    <x v="23"/>
    <n v="20.9"/>
    <n v="-1.5"/>
    <n v="45"/>
  </r>
  <r>
    <x v="34"/>
    <x v="2"/>
    <x v="182"/>
    <n v="23.1"/>
    <n v="0.7"/>
    <n v="118"/>
  </r>
  <r>
    <x v="34"/>
    <x v="3"/>
    <x v="43"/>
    <n v="26.2"/>
    <n v="3.7"/>
    <n v="111"/>
  </r>
  <r>
    <x v="34"/>
    <x v="4"/>
    <x v="189"/>
    <n v="30.5"/>
    <n v="10.5"/>
    <n v="128"/>
  </r>
  <r>
    <x v="34"/>
    <x v="5"/>
    <x v="62"/>
    <n v="31.8"/>
    <n v="15.7"/>
    <n v="36"/>
  </r>
  <r>
    <x v="34"/>
    <x v="6"/>
    <x v="146"/>
    <n v="34.799999999999997"/>
    <n v="17.2"/>
    <n v="253.5"/>
  </r>
  <r>
    <x v="34"/>
    <x v="7"/>
    <x v="202"/>
    <n v="38.700000000000003"/>
    <n v="17.899999999999999"/>
    <n v="31.5"/>
  </r>
  <r>
    <x v="34"/>
    <x v="8"/>
    <x v="179"/>
    <n v="34.5"/>
    <n v="14.8"/>
    <n v="382"/>
  </r>
  <r>
    <x v="34"/>
    <x v="9"/>
    <x v="151"/>
    <n v="27.2"/>
    <n v="9.3000000000000007"/>
    <n v="83.5"/>
  </r>
  <r>
    <x v="34"/>
    <x v="10"/>
    <x v="203"/>
    <n v="24.2"/>
    <n v="5.8"/>
    <n v="84"/>
  </r>
  <r>
    <x v="34"/>
    <x v="11"/>
    <x v="124"/>
    <n v="18.600000000000001"/>
    <n v="2.4"/>
    <n v="48"/>
  </r>
  <r>
    <x v="35"/>
    <x v="0"/>
    <x v="88"/>
    <n v="16.399999999999999"/>
    <n v="-2.1"/>
    <n v="29"/>
  </r>
  <r>
    <x v="35"/>
    <x v="1"/>
    <x v="11"/>
    <n v="18"/>
    <n v="-1.4"/>
    <n v="21.5"/>
  </r>
  <r>
    <x v="35"/>
    <x v="2"/>
    <x v="204"/>
    <n v="25.1"/>
    <n v="3"/>
    <n v="106"/>
  </r>
  <r>
    <x v="35"/>
    <x v="3"/>
    <x v="205"/>
    <n v="27.2"/>
    <n v="8"/>
    <n v="105.5"/>
  </r>
  <r>
    <x v="35"/>
    <x v="4"/>
    <x v="140"/>
    <n v="27.9"/>
    <n v="11.3"/>
    <n v="186"/>
  </r>
  <r>
    <x v="35"/>
    <x v="5"/>
    <x v="206"/>
    <n v="32.799999999999997"/>
    <n v="13.4"/>
    <n v="170.5"/>
  </r>
  <r>
    <x v="35"/>
    <x v="6"/>
    <x v="18"/>
    <n v="37.700000000000003"/>
    <n v="19.399999999999999"/>
    <n v="185"/>
  </r>
  <r>
    <x v="35"/>
    <x v="7"/>
    <x v="177"/>
    <n v="34.5"/>
    <n v="19.399999999999999"/>
    <n v="144"/>
  </r>
  <r>
    <x v="35"/>
    <x v="8"/>
    <x v="194"/>
    <n v="32.9"/>
    <n v="15.4"/>
    <n v="204"/>
  </r>
  <r>
    <x v="35"/>
    <x v="9"/>
    <x v="126"/>
    <n v="27.1"/>
    <n v="9.6"/>
    <n v="19"/>
  </r>
  <r>
    <x v="35"/>
    <x v="10"/>
    <x v="116"/>
    <n v="24.4"/>
    <n v="6.9"/>
    <n v="91"/>
  </r>
  <r>
    <x v="35"/>
    <x v="11"/>
    <x v="182"/>
    <n v="17.600000000000001"/>
    <n v="2.5"/>
    <n v="40.5"/>
  </r>
  <r>
    <x v="36"/>
    <x v="0"/>
    <x v="144"/>
    <n v="13.6"/>
    <n v="-0.8"/>
    <n v="122"/>
  </r>
  <r>
    <x v="36"/>
    <x v="1"/>
    <x v="11"/>
    <n v="23.1"/>
    <n v="0.5"/>
    <n v="110.5"/>
  </r>
  <r>
    <x v="36"/>
    <x v="2"/>
    <x v="138"/>
    <n v="24.5"/>
    <n v="0.7"/>
    <n v="108"/>
  </r>
  <r>
    <x v="36"/>
    <x v="3"/>
    <x v="20"/>
    <n v="27.1"/>
    <n v="2.5"/>
    <n v="188"/>
  </r>
  <r>
    <x v="36"/>
    <x v="4"/>
    <x v="156"/>
    <n v="29.3"/>
    <n v="10.6"/>
    <n v="140.5"/>
  </r>
  <r>
    <x v="36"/>
    <x v="5"/>
    <x v="27"/>
    <n v="33.700000000000003"/>
    <n v="13.8"/>
    <n v="150.5"/>
  </r>
  <r>
    <x v="36"/>
    <x v="6"/>
    <x v="207"/>
    <n v="36.1"/>
    <n v="17"/>
    <n v="156.5"/>
  </r>
  <r>
    <x v="36"/>
    <x v="7"/>
    <x v="76"/>
    <n v="35.5"/>
    <n v="20.3"/>
    <n v="143.5"/>
  </r>
  <r>
    <x v="36"/>
    <x v="8"/>
    <x v="50"/>
    <n v="32.799999999999997"/>
    <n v="17.7"/>
    <n v="229"/>
  </r>
  <r>
    <x v="36"/>
    <x v="9"/>
    <x v="49"/>
    <n v="31.9"/>
    <n v="11.9"/>
    <n v="142.5"/>
  </r>
  <r>
    <x v="36"/>
    <x v="10"/>
    <x v="15"/>
    <n v="25"/>
    <n v="5.3"/>
    <n v="7.5"/>
  </r>
  <r>
    <x v="36"/>
    <x v="11"/>
    <x v="119"/>
    <n v="18.399999999999999"/>
    <n v="2.4"/>
    <n v="48"/>
  </r>
  <r>
    <x v="37"/>
    <x v="0"/>
    <x v="54"/>
    <n v="16.399999999999999"/>
    <n v="-0.9"/>
    <n v="19.5"/>
  </r>
  <r>
    <x v="37"/>
    <x v="1"/>
    <x v="63"/>
    <n v="21.3"/>
    <n v="-1.4"/>
    <n v="35.5"/>
  </r>
  <r>
    <x v="37"/>
    <x v="2"/>
    <x v="138"/>
    <n v="20.3"/>
    <n v="2.1"/>
    <n v="144.5"/>
  </r>
  <r>
    <x v="37"/>
    <x v="3"/>
    <x v="198"/>
    <n v="24"/>
    <n v="5.4"/>
    <n v="205"/>
  </r>
  <r>
    <x v="37"/>
    <x v="4"/>
    <x v="208"/>
    <n v="31.9"/>
    <n v="10.9"/>
    <n v="103.5"/>
  </r>
  <r>
    <x v="37"/>
    <x v="5"/>
    <x v="77"/>
    <n v="32.9"/>
    <n v="15.4"/>
    <n v="192.5"/>
  </r>
  <r>
    <x v="37"/>
    <x v="6"/>
    <x v="209"/>
    <n v="34.200000000000003"/>
    <n v="17.2"/>
    <n v="342"/>
  </r>
  <r>
    <x v="37"/>
    <x v="7"/>
    <x v="108"/>
    <n v="34.799999999999997"/>
    <n v="23.1"/>
    <n v="301"/>
  </r>
  <r>
    <x v="37"/>
    <x v="8"/>
    <x v="146"/>
    <n v="34.200000000000003"/>
    <n v="18"/>
    <n v="91"/>
  </r>
  <r>
    <x v="37"/>
    <x v="9"/>
    <x v="196"/>
    <n v="29.2"/>
    <n v="10.3"/>
    <n v="87.5"/>
  </r>
  <r>
    <x v="37"/>
    <x v="10"/>
    <x v="167"/>
    <n v="23.8"/>
    <n v="7"/>
    <n v="93"/>
  </r>
  <r>
    <x v="37"/>
    <x v="11"/>
    <x v="119"/>
    <n v="18"/>
    <n v="1.7"/>
    <n v="7"/>
  </r>
  <r>
    <x v="38"/>
    <x v="0"/>
    <x v="14"/>
    <n v="16.899999999999999"/>
    <n v="-0.7"/>
    <n v="66.5"/>
  </r>
  <r>
    <x v="38"/>
    <x v="1"/>
    <x v="80"/>
    <n v="14.5"/>
    <n v="0"/>
    <n v="4"/>
  </r>
  <r>
    <x v="38"/>
    <x v="2"/>
    <x v="191"/>
    <n v="19.899999999999999"/>
    <n v="1.5"/>
    <n v="85.5"/>
  </r>
  <r>
    <x v="38"/>
    <x v="3"/>
    <x v="57"/>
    <n v="24.1"/>
    <n v="6.4"/>
    <n v="151.5"/>
  </r>
  <r>
    <x v="38"/>
    <x v="4"/>
    <x v="106"/>
    <n v="30"/>
    <n v="12.9"/>
    <n v="109"/>
  </r>
  <r>
    <x v="38"/>
    <x v="5"/>
    <x v="193"/>
    <n v="30.5"/>
    <n v="16.399999999999999"/>
    <n v="232"/>
  </r>
  <r>
    <x v="38"/>
    <x v="6"/>
    <x v="210"/>
    <n v="34.9"/>
    <n v="19.899999999999999"/>
    <n v="373.5"/>
  </r>
  <r>
    <x v="38"/>
    <x v="7"/>
    <x v="197"/>
    <n v="34.5"/>
    <n v="22.2"/>
    <n v="162"/>
  </r>
  <r>
    <x v="38"/>
    <x v="8"/>
    <x v="117"/>
    <n v="37.799999999999997"/>
    <n v="17.8"/>
    <n v="164"/>
  </r>
  <r>
    <x v="38"/>
    <x v="9"/>
    <x v="188"/>
    <n v="28.1"/>
    <n v="11.1"/>
    <n v="142.5"/>
  </r>
  <r>
    <x v="38"/>
    <x v="10"/>
    <x v="170"/>
    <n v="23.1"/>
    <n v="5.3"/>
    <n v="106"/>
  </r>
  <r>
    <x v="38"/>
    <x v="11"/>
    <x v="211"/>
    <n v="20.2"/>
    <n v="1.7"/>
    <n v="6.5"/>
  </r>
  <r>
    <x v="39"/>
    <x v="0"/>
    <x v="55"/>
    <n v="13.8"/>
    <n v="-2.4"/>
    <n v="126.5"/>
  </r>
  <r>
    <x v="39"/>
    <x v="1"/>
    <x v="54"/>
    <n v="19.7"/>
    <n v="0"/>
    <n v="23"/>
  </r>
  <r>
    <x v="39"/>
    <x v="2"/>
    <x v="212"/>
    <n v="22.8"/>
    <n v="1.1000000000000001"/>
    <n v="107.5"/>
  </r>
  <r>
    <x v="39"/>
    <x v="3"/>
    <x v="213"/>
    <n v="26.2"/>
    <n v="1"/>
    <n v="40.5"/>
  </r>
  <r>
    <x v="39"/>
    <x v="4"/>
    <x v="196"/>
    <n v="27.5"/>
    <n v="8.6999999999999993"/>
    <n v="170.5"/>
  </r>
  <r>
    <x v="39"/>
    <x v="5"/>
    <x v="102"/>
    <n v="33.700000000000003"/>
    <n v="16.100000000000001"/>
    <n v="144.5"/>
  </r>
  <r>
    <x v="39"/>
    <x v="6"/>
    <x v="108"/>
    <n v="38.1"/>
    <n v="21.9"/>
    <n v="41.5"/>
  </r>
  <r>
    <x v="39"/>
    <x v="7"/>
    <x v="200"/>
    <n v="36.299999999999997"/>
    <n v="19.600000000000001"/>
    <n v="136.5"/>
  </r>
  <r>
    <x v="39"/>
    <x v="8"/>
    <x v="52"/>
    <n v="32.6"/>
    <n v="13.2"/>
    <n v="204"/>
  </r>
  <r>
    <x v="39"/>
    <x v="9"/>
    <x v="126"/>
    <n v="28.5"/>
    <n v="11.3"/>
    <n v="343"/>
  </r>
  <r>
    <x v="39"/>
    <x v="10"/>
    <x v="214"/>
    <n v="21.8"/>
    <n v="6"/>
    <n v="123.5"/>
  </r>
  <r>
    <x v="39"/>
    <x v="11"/>
    <x v="135"/>
    <n v="16.7"/>
    <n v="0.9"/>
    <n v="30"/>
  </r>
  <r>
    <x v="40"/>
    <x v="0"/>
    <x v="171"/>
    <n v="18.100000000000001"/>
    <n v="-0.3"/>
    <n v="98.5"/>
  </r>
  <r>
    <x v="40"/>
    <x v="1"/>
    <x v="72"/>
    <n v="17.7"/>
    <n v="0.3"/>
    <n v="25"/>
  </r>
  <r>
    <x v="40"/>
    <x v="2"/>
    <x v="164"/>
    <n v="23.9"/>
    <n v="3.9"/>
    <n v="82"/>
  </r>
  <r>
    <x v="40"/>
    <x v="3"/>
    <x v="215"/>
    <n v="28"/>
    <n v="9.1"/>
    <n v="58"/>
  </r>
  <r>
    <x v="40"/>
    <x v="4"/>
    <x v="4"/>
    <n v="27.5"/>
    <n v="12.4"/>
    <n v="112.5"/>
  </r>
  <r>
    <x v="40"/>
    <x v="5"/>
    <x v="38"/>
    <n v="31.1"/>
    <n v="15.6"/>
    <n v="151.5"/>
  </r>
  <r>
    <x v="40"/>
    <x v="6"/>
    <x v="61"/>
    <n v="34.799999999999997"/>
    <n v="21.1"/>
    <n v="124"/>
  </r>
  <r>
    <x v="40"/>
    <x v="7"/>
    <x v="61"/>
    <n v="35.799999999999997"/>
    <n v="20.7"/>
    <n v="120"/>
  </r>
  <r>
    <x v="40"/>
    <x v="8"/>
    <x v="102"/>
    <n v="33.9"/>
    <n v="15.4"/>
    <n v="207"/>
  </r>
  <r>
    <x v="40"/>
    <x v="9"/>
    <x v="131"/>
    <n v="29.4"/>
    <n v="9.1"/>
    <n v="194"/>
  </r>
  <r>
    <x v="40"/>
    <x v="10"/>
    <x v="161"/>
    <n v="20.399999999999999"/>
    <n v="4.8"/>
    <n v="27.5"/>
  </r>
  <r>
    <x v="40"/>
    <x v="11"/>
    <x v="45"/>
    <n v="18.7"/>
    <n v="0"/>
    <n v="94.5"/>
  </r>
  <r>
    <x v="41"/>
    <x v="0"/>
    <x v="81"/>
    <n v="13.8"/>
    <n v="-0.8"/>
    <n v="101"/>
  </r>
  <r>
    <x v="41"/>
    <x v="1"/>
    <x v="216"/>
    <n v="14.5"/>
    <n v="0.9"/>
    <n v="53.5"/>
  </r>
  <r>
    <x v="41"/>
    <x v="2"/>
    <x v="130"/>
    <n v="20.399999999999999"/>
    <n v="1.1000000000000001"/>
    <n v="159.5"/>
  </r>
  <r>
    <x v="41"/>
    <x v="3"/>
    <x v="125"/>
    <n v="27.9"/>
    <n v="5.6"/>
    <n v="121"/>
  </r>
  <r>
    <x v="41"/>
    <x v="4"/>
    <x v="188"/>
    <n v="26.9"/>
    <n v="10.5"/>
    <n v="172.5"/>
  </r>
  <r>
    <x v="41"/>
    <x v="5"/>
    <x v="52"/>
    <n v="33.299999999999997"/>
    <n v="16.399999999999999"/>
    <n v="85"/>
  </r>
  <r>
    <x v="41"/>
    <x v="6"/>
    <x v="77"/>
    <n v="31.9"/>
    <n v="17.7"/>
    <n v="187.5"/>
  </r>
  <r>
    <x v="41"/>
    <x v="7"/>
    <x v="202"/>
    <n v="34.299999999999997"/>
    <n v="18.399999999999999"/>
    <n v="370"/>
  </r>
  <r>
    <x v="41"/>
    <x v="8"/>
    <x v="39"/>
    <n v="34.299999999999997"/>
    <n v="13.9"/>
    <n v="150"/>
  </r>
  <r>
    <x v="41"/>
    <x v="9"/>
    <x v="114"/>
    <n v="28.7"/>
    <n v="12.1"/>
    <n v="171.5"/>
  </r>
  <r>
    <x v="41"/>
    <x v="10"/>
    <x v="175"/>
    <n v="24.8"/>
    <n v="7.3"/>
    <n v="229.5"/>
  </r>
  <r>
    <x v="41"/>
    <x v="11"/>
    <x v="182"/>
    <n v="19"/>
    <n v="0.7"/>
    <n v="53"/>
  </r>
  <r>
    <x v="42"/>
    <x v="0"/>
    <x v="104"/>
    <n v="14.2"/>
    <n v="0.2"/>
    <n v="3.5"/>
  </r>
  <r>
    <x v="42"/>
    <x v="1"/>
    <x v="134"/>
    <n v="21.6"/>
    <n v="0.2"/>
    <n v="20"/>
  </r>
  <r>
    <x v="42"/>
    <x v="2"/>
    <x v="212"/>
    <n v="21.9"/>
    <n v="1.6"/>
    <n v="129.5"/>
  </r>
  <r>
    <x v="42"/>
    <x v="3"/>
    <x v="217"/>
    <n v="28.9"/>
    <n v="3.1"/>
    <n v="69.5"/>
  </r>
  <r>
    <x v="42"/>
    <x v="4"/>
    <x v="74"/>
    <n v="31.7"/>
    <n v="10.5"/>
    <n v="149"/>
  </r>
  <r>
    <x v="42"/>
    <x v="5"/>
    <x v="173"/>
    <n v="32.299999999999997"/>
    <n v="16.3"/>
    <n v="112.5"/>
  </r>
  <r>
    <x v="42"/>
    <x v="6"/>
    <x v="108"/>
    <n v="39.5"/>
    <n v="19.100000000000001"/>
    <n v="23.5"/>
  </r>
  <r>
    <x v="42"/>
    <x v="7"/>
    <x v="76"/>
    <n v="36.5"/>
    <n v="18.100000000000001"/>
    <n v="79.5"/>
  </r>
  <r>
    <x v="42"/>
    <x v="8"/>
    <x v="6"/>
    <n v="33.6"/>
    <n v="18.399999999999999"/>
    <n v="195"/>
  </r>
  <r>
    <x v="42"/>
    <x v="9"/>
    <x v="67"/>
    <n v="28.2"/>
    <n v="8.6"/>
    <n v="780"/>
  </r>
  <r>
    <x v="42"/>
    <x v="10"/>
    <x v="181"/>
    <n v="23.2"/>
    <n v="8.3000000000000007"/>
    <n v="108.5"/>
  </r>
  <r>
    <x v="42"/>
    <x v="11"/>
    <x v="136"/>
    <n v="24.8"/>
    <n v="0.2"/>
    <n v="79.5"/>
  </r>
  <r>
    <x v="43"/>
    <x v="0"/>
    <x v="153"/>
    <n v="18.5"/>
    <n v="-0.8"/>
    <n v="77"/>
  </r>
  <r>
    <x v="43"/>
    <x v="1"/>
    <x v="152"/>
    <n v="19.399999999999999"/>
    <n v="-0.3"/>
    <n v="48"/>
  </r>
  <r>
    <x v="43"/>
    <x v="2"/>
    <x v="119"/>
    <n v="19.3"/>
    <n v="0.5"/>
    <n v="71"/>
  </r>
  <r>
    <x v="43"/>
    <x v="3"/>
    <x v="125"/>
    <n v="28.1"/>
    <n v="4.5999999999999996"/>
    <n v="81"/>
  </r>
  <r>
    <x v="43"/>
    <x v="4"/>
    <x v="120"/>
    <n v="27.2"/>
    <n v="9.3000000000000007"/>
    <n v="180.5"/>
  </r>
  <r>
    <x v="43"/>
    <x v="5"/>
    <x v="52"/>
    <n v="36.200000000000003"/>
    <n v="16.2"/>
    <n v="170.5"/>
  </r>
  <r>
    <x v="43"/>
    <x v="6"/>
    <x v="117"/>
    <n v="35.6"/>
    <n v="18.5"/>
    <n v="247.5"/>
  </r>
  <r>
    <x v="43"/>
    <x v="7"/>
    <x v="7"/>
    <n v="35.799999999999997"/>
    <n v="21.9"/>
    <n v="189.5"/>
  </r>
  <r>
    <x v="43"/>
    <x v="8"/>
    <x v="69"/>
    <n v="33.1"/>
    <n v="16.899999999999999"/>
    <n v="177.5"/>
  </r>
  <r>
    <x v="43"/>
    <x v="9"/>
    <x v="140"/>
    <n v="31.7"/>
    <n v="12.7"/>
    <n v="201.5"/>
  </r>
  <r>
    <x v="43"/>
    <x v="10"/>
    <x v="170"/>
    <n v="24.1"/>
    <n v="5.2"/>
    <n v="34.5"/>
  </r>
  <r>
    <x v="43"/>
    <x v="11"/>
    <x v="216"/>
    <n v="15.9"/>
    <n v="-0.8"/>
    <n v="3.5"/>
  </r>
  <r>
    <x v="44"/>
    <x v="0"/>
    <x v="89"/>
    <n v="14.7"/>
    <n v="-1.1000000000000001"/>
    <n v="67"/>
  </r>
  <r>
    <x v="44"/>
    <x v="1"/>
    <x v="63"/>
    <n v="19.899999999999999"/>
    <n v="-1.5"/>
    <n v="113"/>
  </r>
  <r>
    <x v="44"/>
    <x v="2"/>
    <x v="212"/>
    <n v="19"/>
    <n v="1.5"/>
    <n v="79.5"/>
  </r>
  <r>
    <x v="44"/>
    <x v="3"/>
    <x v="47"/>
    <n v="22.4"/>
    <n v="6.3"/>
    <n v="123"/>
  </r>
  <r>
    <x v="44"/>
    <x v="4"/>
    <x v="131"/>
    <n v="29.4"/>
    <n v="9.1999999999999993"/>
    <n v="99"/>
  </r>
  <r>
    <x v="44"/>
    <x v="5"/>
    <x v="193"/>
    <n v="31.5"/>
    <n v="15.5"/>
    <n v="138.5"/>
  </r>
  <r>
    <x v="44"/>
    <x v="6"/>
    <x v="117"/>
    <n v="36.1"/>
    <n v="20.3"/>
    <n v="165"/>
  </r>
  <r>
    <x v="44"/>
    <x v="7"/>
    <x v="157"/>
    <n v="35.4"/>
    <n v="20.2"/>
    <n v="126"/>
  </r>
  <r>
    <x v="44"/>
    <x v="8"/>
    <x v="163"/>
    <n v="34.799999999999997"/>
    <n v="16.600000000000001"/>
    <n v="175.5"/>
  </r>
  <r>
    <x v="44"/>
    <x v="9"/>
    <x v="196"/>
    <n v="27"/>
    <n v="12.1"/>
    <n v="318"/>
  </r>
  <r>
    <x v="44"/>
    <x v="10"/>
    <x v="175"/>
    <n v="24.9"/>
    <n v="5.8"/>
    <n v="135"/>
  </r>
  <r>
    <x v="44"/>
    <x v="11"/>
    <x v="56"/>
    <n v="20.3"/>
    <n v="3.7"/>
    <n v="200.5"/>
  </r>
  <r>
    <x v="45"/>
    <x v="0"/>
    <x v="14"/>
    <n v="15"/>
    <n v="2"/>
    <n v="42"/>
  </r>
  <r>
    <x v="45"/>
    <x v="1"/>
    <x v="154"/>
    <n v="17.3"/>
    <n v="0.2"/>
    <n v="57"/>
  </r>
  <r>
    <x v="45"/>
    <x v="2"/>
    <x v="218"/>
    <n v="24.1"/>
    <n v="2.6"/>
    <n v="77"/>
  </r>
  <r>
    <x v="45"/>
    <x v="3"/>
    <x v="219"/>
    <n v="25.8"/>
    <n v="4"/>
    <n v="134"/>
  </r>
  <r>
    <x v="45"/>
    <x v="4"/>
    <x v="106"/>
    <n v="29"/>
    <n v="13"/>
    <n v="115.5"/>
  </r>
  <r>
    <x v="45"/>
    <x v="5"/>
    <x v="52"/>
    <n v="31.5"/>
    <n v="15.7"/>
    <n v="80"/>
  </r>
  <r>
    <x v="45"/>
    <x v="6"/>
    <x v="50"/>
    <n v="32.700000000000003"/>
    <n v="18.2"/>
    <n v="253"/>
  </r>
  <r>
    <x v="45"/>
    <x v="7"/>
    <x v="220"/>
    <n v="37.5"/>
    <n v="23.1"/>
    <n v="9.5"/>
  </r>
  <r>
    <x v="45"/>
    <x v="8"/>
    <x v="101"/>
    <n v="32.9"/>
    <n v="15.7"/>
    <n v="319.5"/>
  </r>
  <r>
    <x v="45"/>
    <x v="9"/>
    <x v="131"/>
    <n v="26.5"/>
    <n v="12.8"/>
    <n v="135.5"/>
  </r>
  <r>
    <x v="45"/>
    <x v="10"/>
    <x v="170"/>
    <n v="21.2"/>
    <n v="4.5999999999999996"/>
    <n v="37"/>
  </r>
  <r>
    <x v="45"/>
    <x v="11"/>
    <x v="119"/>
    <n v="15.8"/>
    <n v="2.7"/>
    <n v="72"/>
  </r>
  <r>
    <x v="46"/>
    <x v="0"/>
    <x v="1"/>
    <n v="13.9"/>
    <n v="0.8"/>
    <n v="17.5"/>
  </r>
  <r>
    <x v="46"/>
    <x v="1"/>
    <x v="81"/>
    <n v="17"/>
    <n v="-0.1"/>
    <n v="57"/>
  </r>
  <r>
    <x v="46"/>
    <x v="2"/>
    <x v="221"/>
    <n v="20.399999999999999"/>
    <n v="2.8"/>
    <n v="119.5"/>
  </r>
  <r>
    <x v="46"/>
    <x v="3"/>
    <x v="185"/>
    <n v="25.8"/>
    <n v="6.5"/>
    <n v="240"/>
  </r>
  <r>
    <x v="46"/>
    <x v="4"/>
    <x v="103"/>
    <n v="29"/>
    <n v="9.1999999999999993"/>
    <n v="255"/>
  </r>
  <r>
    <x v="46"/>
    <x v="5"/>
    <x v="93"/>
    <n v="29.1"/>
    <n v="13.4"/>
    <n v="225.5"/>
  </r>
  <r>
    <x v="46"/>
    <x v="6"/>
    <x v="177"/>
    <n v="34.5"/>
    <n v="18.600000000000001"/>
    <n v="48"/>
  </r>
  <r>
    <x v="46"/>
    <x v="7"/>
    <x v="172"/>
    <n v="35.299999999999997"/>
    <n v="19.600000000000001"/>
    <n v="387.5"/>
  </r>
  <r>
    <x v="46"/>
    <x v="8"/>
    <x v="50"/>
    <n v="32.299999999999997"/>
    <n v="15.4"/>
    <n v="158.5"/>
  </r>
  <r>
    <x v="46"/>
    <x v="9"/>
    <x v="222"/>
    <n v="25.2"/>
    <n v="11.5"/>
    <n v="204.5"/>
  </r>
  <r>
    <x v="46"/>
    <x v="10"/>
    <x v="214"/>
    <n v="22.3"/>
    <n v="5.5"/>
    <n v="74"/>
  </r>
  <r>
    <x v="46"/>
    <x v="11"/>
    <x v="212"/>
    <n v="19.899999999999999"/>
    <n v="1.8"/>
    <n v="70.5"/>
  </r>
  <r>
    <x v="47"/>
    <x v="0"/>
    <x v="88"/>
    <n v="15.3"/>
    <n v="0"/>
    <n v="142"/>
  </r>
  <r>
    <x v="47"/>
    <x v="1"/>
    <x v="105"/>
    <n v="23.9"/>
    <n v="1.4"/>
    <n v="46.5"/>
  </r>
  <r>
    <x v="47"/>
    <x v="2"/>
    <x v="66"/>
    <n v="23.2"/>
    <n v="1.1000000000000001"/>
    <n v="98.5"/>
  </r>
  <r>
    <x v="47"/>
    <x v="3"/>
    <x v="213"/>
    <n v="26.1"/>
    <n v="5.4"/>
    <n v="162.5"/>
  </r>
  <r>
    <x v="47"/>
    <x v="4"/>
    <x v="49"/>
    <n v="29.3"/>
    <n v="12.6"/>
    <n v="242"/>
  </r>
  <r>
    <x v="47"/>
    <x v="5"/>
    <x v="193"/>
    <n v="31.9"/>
    <n v="15.5"/>
    <n v="226"/>
  </r>
  <r>
    <x v="47"/>
    <x v="6"/>
    <x v="60"/>
    <n v="34.200000000000003"/>
    <n v="20.2"/>
    <n v="78.5"/>
  </r>
  <r>
    <x v="47"/>
    <x v="7"/>
    <x v="18"/>
    <n v="33.200000000000003"/>
    <n v="17.600000000000001"/>
    <n v="242"/>
  </r>
  <r>
    <x v="47"/>
    <x v="8"/>
    <x v="59"/>
    <n v="31.5"/>
    <n v="17.7"/>
    <n v="53"/>
  </r>
  <r>
    <x v="47"/>
    <x v="9"/>
    <x v="131"/>
    <n v="27.1"/>
    <n v="12.7"/>
    <n v="276.5"/>
  </r>
  <r>
    <x v="47"/>
    <x v="10"/>
    <x v="91"/>
    <n v="25.9"/>
    <n v="5.5"/>
    <n v="151.5"/>
  </r>
  <r>
    <x v="47"/>
    <x v="11"/>
    <x v="119"/>
    <n v="17.399999999999999"/>
    <n v="1.1000000000000001"/>
    <n v="82.5"/>
  </r>
  <r>
    <x v="48"/>
    <x v="0"/>
    <x v="11"/>
    <n v="18"/>
    <n v="-0.3"/>
    <n v="9"/>
  </r>
  <r>
    <x v="48"/>
    <x v="1"/>
    <x v="166"/>
    <n v="21"/>
    <n v="-0.4"/>
    <n v="115"/>
  </r>
  <r>
    <x v="48"/>
    <x v="2"/>
    <x v="223"/>
    <n v="21.6"/>
    <n v="0.9"/>
    <n v="143.5"/>
  </r>
  <r>
    <x v="48"/>
    <x v="3"/>
    <x v="224"/>
    <n v="25.5"/>
    <n v="1.4"/>
    <n v="214"/>
  </r>
  <r>
    <x v="48"/>
    <x v="4"/>
    <x v="131"/>
    <n v="30.9"/>
    <n v="11.4"/>
    <n v="114"/>
  </r>
  <r>
    <x v="48"/>
    <x v="5"/>
    <x v="141"/>
    <n v="31.8"/>
    <n v="13.4"/>
    <n v="108"/>
  </r>
  <r>
    <x v="48"/>
    <x v="6"/>
    <x v="61"/>
    <n v="36.299999999999997"/>
    <n v="19.899999999999999"/>
    <n v="70"/>
  </r>
  <r>
    <x v="48"/>
    <x v="7"/>
    <x v="225"/>
    <n v="37.200000000000003"/>
    <n v="23.6"/>
    <n v="27"/>
  </r>
  <r>
    <x v="48"/>
    <x v="8"/>
    <x v="6"/>
    <n v="35.9"/>
    <n v="13.9"/>
    <n v="428"/>
  </r>
  <r>
    <x v="48"/>
    <x v="9"/>
    <x v="26"/>
    <n v="28.3"/>
    <n v="9.3000000000000007"/>
    <n v="211"/>
  </r>
  <r>
    <x v="48"/>
    <x v="10"/>
    <x v="91"/>
    <n v="22.4"/>
    <n v="7"/>
    <n v="94.5"/>
  </r>
  <r>
    <x v="48"/>
    <x v="11"/>
    <x v="136"/>
    <n v="23.7"/>
    <n v="2.1"/>
    <n v="145.5"/>
  </r>
  <r>
    <x v="49"/>
    <x v="0"/>
    <x v="89"/>
    <n v="12.2"/>
    <n v="-1.1000000000000001"/>
    <n v="3.5"/>
  </r>
  <r>
    <x v="49"/>
    <x v="1"/>
    <x v="11"/>
    <n v="20.8"/>
    <n v="-0.8"/>
    <n v="151"/>
  </r>
  <r>
    <x v="49"/>
    <x v="2"/>
    <x v="22"/>
    <n v="20.2"/>
    <n v="1"/>
    <n v="74"/>
  </r>
  <r>
    <x v="49"/>
    <x v="3"/>
    <x v="57"/>
    <n v="24.8"/>
    <n v="4.3"/>
    <n v="96"/>
  </r>
  <r>
    <x v="49"/>
    <x v="4"/>
    <x v="103"/>
    <n v="29.6"/>
    <n v="12.2"/>
    <n v="213.5"/>
  </r>
  <r>
    <x v="49"/>
    <x v="5"/>
    <x v="77"/>
    <n v="35.1"/>
    <n v="12.1"/>
    <n v="116.5"/>
  </r>
  <r>
    <x v="49"/>
    <x v="6"/>
    <x v="118"/>
    <n v="34.799999999999997"/>
    <n v="18"/>
    <n v="54.5"/>
  </r>
  <r>
    <x v="49"/>
    <x v="7"/>
    <x v="157"/>
    <n v="36.1"/>
    <n v="19.3"/>
    <n v="244"/>
  </r>
  <r>
    <x v="49"/>
    <x v="8"/>
    <x v="6"/>
    <n v="32.5"/>
    <n v="15.9"/>
    <n v="235"/>
  </r>
  <r>
    <x v="49"/>
    <x v="9"/>
    <x v="196"/>
    <n v="29.7"/>
    <n v="11.2"/>
    <n v="119.5"/>
  </r>
  <r>
    <x v="49"/>
    <x v="10"/>
    <x v="226"/>
    <n v="22.7"/>
    <n v="7.2"/>
    <n v="112.5"/>
  </r>
  <r>
    <x v="49"/>
    <x v="11"/>
    <x v="33"/>
    <n v="18.899999999999999"/>
    <n v="1.5"/>
    <n v="59.5"/>
  </r>
  <r>
    <x v="50"/>
    <x v="0"/>
    <x v="13"/>
    <n v="11.1"/>
    <n v="-1"/>
    <n v="50"/>
  </r>
  <r>
    <x v="50"/>
    <x v="1"/>
    <x v="23"/>
    <n v="15.4"/>
    <n v="-1"/>
    <n v="94"/>
  </r>
  <r>
    <x v="50"/>
    <x v="2"/>
    <x v="211"/>
    <n v="19.399999999999999"/>
    <n v="2"/>
    <n v="144.5"/>
  </r>
  <r>
    <x v="50"/>
    <x v="3"/>
    <x v="57"/>
    <n v="26"/>
    <n v="5.0999999999999996"/>
    <n v="118.5"/>
  </r>
  <r>
    <x v="50"/>
    <x v="4"/>
    <x v="74"/>
    <n v="27.2"/>
    <n v="11.9"/>
    <n v="231"/>
  </r>
  <r>
    <x v="50"/>
    <x v="5"/>
    <x v="19"/>
    <n v="30.2"/>
    <n v="15.2"/>
    <n v="185"/>
  </r>
  <r>
    <x v="50"/>
    <x v="6"/>
    <x v="200"/>
    <n v="35.4"/>
    <n v="17.399999999999999"/>
    <n v="130"/>
  </r>
  <r>
    <x v="50"/>
    <x v="7"/>
    <x v="227"/>
    <n v="35.700000000000003"/>
    <n v="22.9"/>
    <n v="25"/>
  </r>
  <r>
    <x v="50"/>
    <x v="8"/>
    <x v="146"/>
    <n v="33.799999999999997"/>
    <n v="18"/>
    <n v="214.5"/>
  </r>
  <r>
    <x v="50"/>
    <x v="9"/>
    <x v="222"/>
    <n v="31"/>
    <n v="11.8"/>
    <n v="154.5"/>
  </r>
  <r>
    <x v="50"/>
    <x v="10"/>
    <x v="43"/>
    <n v="21.5"/>
    <n v="4.4000000000000004"/>
    <n v="154"/>
  </r>
  <r>
    <x v="50"/>
    <x v="11"/>
    <x v="109"/>
    <n v="18.399999999999999"/>
    <n v="0.1"/>
    <n v="6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ﾋﾟﾎﾞｯﾄﾃｰﾌﾞﾙ1" cacheId="0" applyNumberFormats="0" applyBorderFormats="0" applyFontFormats="0" applyPatternFormats="0" applyAlignmentFormats="0" applyWidthHeightFormats="1" dataCaption="値" updatedVersion="4" minRefreshableVersion="3" useAutoFormatting="1" itemPrintTitles="1" createdVersion="5" indent="0" outline="1" outlineData="1" multipleFieldFilters="0" chartFormat="7">
  <location ref="A3:N56" firstHeaderRow="1" firstDataRow="2" firstDataCol="1"/>
  <pivotFields count="6">
    <pivotField axis="axisRow" showAll="0">
      <items count="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>
      <items count="229">
        <item x="160"/>
        <item x="12"/>
        <item x="123"/>
        <item x="159"/>
        <item x="165"/>
        <item x="24"/>
        <item x="65"/>
        <item x="34"/>
        <item x="0"/>
        <item x="44"/>
        <item x="35"/>
        <item x="13"/>
        <item x="55"/>
        <item x="183"/>
        <item x="89"/>
        <item x="139"/>
        <item x="144"/>
        <item x="23"/>
        <item x="81"/>
        <item x="129"/>
        <item x="64"/>
        <item x="149"/>
        <item x="1"/>
        <item x="80"/>
        <item x="153"/>
        <item x="152"/>
        <item x="104"/>
        <item x="216"/>
        <item x="166"/>
        <item x="54"/>
        <item x="63"/>
        <item x="88"/>
        <item x="36"/>
        <item x="11"/>
        <item x="158"/>
        <item x="45"/>
        <item x="109"/>
        <item x="171"/>
        <item x="33"/>
        <item x="14"/>
        <item x="143"/>
        <item x="105"/>
        <item x="72"/>
        <item x="22"/>
        <item x="2"/>
        <item x="90"/>
        <item x="135"/>
        <item x="134"/>
        <item x="154"/>
        <item x="130"/>
        <item x="211"/>
        <item x="128"/>
        <item x="119"/>
        <item x="223"/>
        <item x="182"/>
        <item x="124"/>
        <item x="191"/>
        <item x="56"/>
        <item x="46"/>
        <item x="98"/>
        <item x="212"/>
        <item x="136"/>
        <item x="66"/>
        <item x="138"/>
        <item x="71"/>
        <item x="148"/>
        <item x="204"/>
        <item x="184"/>
        <item x="221"/>
        <item x="218"/>
        <item x="32"/>
        <item x="122"/>
        <item x="10"/>
        <item x="180"/>
        <item x="161"/>
        <item x="115"/>
        <item x="97"/>
        <item x="21"/>
        <item x="164"/>
        <item x="87"/>
        <item x="224"/>
        <item x="43"/>
        <item x="79"/>
        <item x="53"/>
        <item x="82"/>
        <item x="214"/>
        <item x="203"/>
        <item x="170"/>
        <item x="99"/>
        <item x="91"/>
        <item x="47"/>
        <item x="219"/>
        <item x="15"/>
        <item x="150"/>
        <item x="3"/>
        <item x="167"/>
        <item x="116"/>
        <item x="175"/>
        <item x="57"/>
        <item x="73"/>
        <item x="185"/>
        <item x="110"/>
        <item x="226"/>
        <item x="198"/>
        <item x="125"/>
        <item x="205"/>
        <item x="25"/>
        <item x="187"/>
        <item x="96"/>
        <item x="181"/>
        <item x="213"/>
        <item x="195"/>
        <item x="31"/>
        <item x="215"/>
        <item x="20"/>
        <item x="217"/>
        <item x="9"/>
        <item x="42"/>
        <item x="174"/>
        <item x="37"/>
        <item x="78"/>
        <item x="92"/>
        <item x="67"/>
        <item x="147"/>
        <item x="120"/>
        <item x="114"/>
        <item x="48"/>
        <item x="151"/>
        <item x="189"/>
        <item x="142"/>
        <item x="4"/>
        <item x="103"/>
        <item x="100"/>
        <item x="126"/>
        <item x="188"/>
        <item x="26"/>
        <item x="131"/>
        <item x="168"/>
        <item x="140"/>
        <item x="111"/>
        <item x="222"/>
        <item x="196"/>
        <item x="74"/>
        <item x="155"/>
        <item x="106"/>
        <item x="208"/>
        <item x="58"/>
        <item x="49"/>
        <item x="145"/>
        <item x="199"/>
        <item x="156"/>
        <item x="190"/>
        <item x="83"/>
        <item x="5"/>
        <item x="95"/>
        <item x="93"/>
        <item x="19"/>
        <item x="27"/>
        <item x="38"/>
        <item x="192"/>
        <item x="16"/>
        <item x="70"/>
        <item x="68"/>
        <item x="176"/>
        <item x="41"/>
        <item x="30"/>
        <item x="179"/>
        <item x="193"/>
        <item x="62"/>
        <item x="206"/>
        <item x="77"/>
        <item x="194"/>
        <item x="59"/>
        <item x="102"/>
        <item x="52"/>
        <item x="178"/>
        <item x="112"/>
        <item x="163"/>
        <item x="141"/>
        <item x="173"/>
        <item x="132"/>
        <item x="121"/>
        <item x="86"/>
        <item x="137"/>
        <item x="39"/>
        <item x="127"/>
        <item x="50"/>
        <item x="8"/>
        <item x="69"/>
        <item x="186"/>
        <item x="75"/>
        <item x="6"/>
        <item x="101"/>
        <item x="207"/>
        <item x="84"/>
        <item x="28"/>
        <item x="117"/>
        <item x="17"/>
        <item x="94"/>
        <item x="209"/>
        <item x="202"/>
        <item x="107"/>
        <item x="146"/>
        <item x="60"/>
        <item x="200"/>
        <item x="18"/>
        <item x="40"/>
        <item x="172"/>
        <item x="51"/>
        <item x="177"/>
        <item x="113"/>
        <item x="76"/>
        <item x="118"/>
        <item x="85"/>
        <item x="157"/>
        <item x="210"/>
        <item x="29"/>
        <item x="169"/>
        <item x="61"/>
        <item x="7"/>
        <item x="197"/>
        <item x="108"/>
        <item x="162"/>
        <item x="133"/>
        <item x="220"/>
        <item x="227"/>
        <item x="201"/>
        <item x="225"/>
        <item t="default"/>
      </items>
    </pivotField>
    <pivotField showAll="0"/>
    <pivotField showAll="0"/>
    <pivotField showAll="0"/>
  </pivotFields>
  <rowFields count="1">
    <field x="0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合計 / 平均気温(℃)" fld="2" baseField="0" baseItem="0"/>
  </dataFields>
  <formats count="1">
    <format dxfId="0">
      <pivotArea dataOnly="0" grandRow="1" axis="axisRow" fieldPosition="0"/>
    </format>
  </formats>
  <chartFormats count="3">
    <chartFormat chart="3" format="39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1" format="39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3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614"/>
  <sheetViews>
    <sheetView tabSelected="1" workbookViewId="0">
      <selection activeCell="W2" sqref="W2"/>
    </sheetView>
  </sheetViews>
  <sheetFormatPr baseColWidth="10" defaultColWidth="8.83203125" defaultRowHeight="15" x14ac:dyDescent="0.2"/>
  <cols>
    <col min="7" max="7" width="8.83203125" customWidth="1"/>
    <col min="11" max="11" width="12.5" customWidth="1"/>
    <col min="12" max="12" width="8.1640625" customWidth="1"/>
    <col min="14" max="14" width="9.83203125" customWidth="1"/>
  </cols>
  <sheetData>
    <row r="1" spans="1:16" ht="17" thickTop="1" thickBot="1" x14ac:dyDescent="0.25">
      <c r="A1" s="7"/>
      <c r="D1" t="s">
        <v>0</v>
      </c>
      <c r="E1" t="s">
        <v>0</v>
      </c>
      <c r="F1" t="s">
        <v>0</v>
      </c>
      <c r="G1" t="s">
        <v>0</v>
      </c>
      <c r="K1" t="s">
        <v>0</v>
      </c>
      <c r="L1" t="s">
        <v>0</v>
      </c>
      <c r="M1" t="s">
        <v>0</v>
      </c>
      <c r="N1" t="s">
        <v>0</v>
      </c>
    </row>
    <row r="2" spans="1:16" ht="16" thickTop="1" x14ac:dyDescent="0.2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J2" t="s">
        <v>1</v>
      </c>
      <c r="K2" t="s">
        <v>11</v>
      </c>
      <c r="L2" t="s">
        <v>14</v>
      </c>
      <c r="M2" t="s">
        <v>13</v>
      </c>
      <c r="N2" t="s">
        <v>12</v>
      </c>
    </row>
    <row r="3" spans="1:16" x14ac:dyDescent="0.2">
      <c r="B3">
        <v>1962</v>
      </c>
      <c r="C3">
        <v>1</v>
      </c>
      <c r="D3">
        <v>4.5</v>
      </c>
      <c r="E3">
        <v>13.8</v>
      </c>
      <c r="F3">
        <v>-3.8</v>
      </c>
      <c r="G3">
        <v>40.5</v>
      </c>
      <c r="J3">
        <v>1962</v>
      </c>
      <c r="K3">
        <v>15.443835616438356</v>
      </c>
      <c r="L3">
        <f>MAX(E3:E15)</f>
        <v>37.6</v>
      </c>
      <c r="M3">
        <f>MIN(F3:F15)</f>
        <v>-5.5</v>
      </c>
      <c r="N3">
        <f>SUM(G3:G15)</f>
        <v>1256.2</v>
      </c>
    </row>
    <row r="4" spans="1:16" x14ac:dyDescent="0.2">
      <c r="B4">
        <v>1962</v>
      </c>
      <c r="C4">
        <v>2</v>
      </c>
      <c r="D4">
        <v>5.9</v>
      </c>
      <c r="E4">
        <v>24.5</v>
      </c>
      <c r="F4">
        <v>-2.6</v>
      </c>
      <c r="G4">
        <v>13.5</v>
      </c>
      <c r="J4">
        <v>1963</v>
      </c>
      <c r="K4">
        <v>15.049315068493151</v>
      </c>
      <c r="L4">
        <f>MAX(E15:E27)</f>
        <v>37.200000000000003</v>
      </c>
      <c r="M4">
        <f>MIN(F15:F27)</f>
        <v>-5.5</v>
      </c>
      <c r="N4">
        <f>SUM(G15:G27)</f>
        <v>1719.5999999999997</v>
      </c>
    </row>
    <row r="5" spans="1:16" x14ac:dyDescent="0.2">
      <c r="B5">
        <v>1962</v>
      </c>
      <c r="C5">
        <v>3</v>
      </c>
      <c r="D5">
        <v>8.1999999999999993</v>
      </c>
      <c r="E5">
        <v>18.8</v>
      </c>
      <c r="F5">
        <v>-0.8</v>
      </c>
      <c r="G5">
        <v>65.5</v>
      </c>
      <c r="J5">
        <v>1964</v>
      </c>
      <c r="K5">
        <v>15.315068493150685</v>
      </c>
      <c r="L5">
        <f>MAX(E27:E39)</f>
        <v>35.200000000000003</v>
      </c>
      <c r="M5">
        <f>MIN(F27:F39)</f>
        <v>-3.3</v>
      </c>
      <c r="N5">
        <f>SUM(G27:G39)</f>
        <v>1188.1999999999998</v>
      </c>
    </row>
    <row r="6" spans="1:16" x14ac:dyDescent="0.2">
      <c r="B6">
        <v>1962</v>
      </c>
      <c r="C6">
        <v>4</v>
      </c>
      <c r="D6">
        <v>14.1</v>
      </c>
      <c r="E6">
        <v>24.5</v>
      </c>
      <c r="F6">
        <v>2.8</v>
      </c>
      <c r="G6">
        <v>124.2</v>
      </c>
      <c r="J6">
        <v>1965</v>
      </c>
      <c r="K6">
        <v>14.69041095890411</v>
      </c>
      <c r="L6">
        <f>MAX(E39:E51)</f>
        <v>35</v>
      </c>
      <c r="M6">
        <f>MIN(F39:F51)</f>
        <v>-4.7</v>
      </c>
      <c r="N6">
        <f>SUM(G39:G51)</f>
        <v>1619.6</v>
      </c>
    </row>
    <row r="7" spans="1:16" ht="16" x14ac:dyDescent="0.2">
      <c r="B7">
        <v>1962</v>
      </c>
      <c r="C7">
        <v>5</v>
      </c>
      <c r="D7">
        <v>18.399999999999999</v>
      </c>
      <c r="E7">
        <v>28.9</v>
      </c>
      <c r="F7">
        <v>9.6999999999999993</v>
      </c>
      <c r="G7">
        <v>211.5</v>
      </c>
      <c r="J7">
        <v>1966</v>
      </c>
      <c r="K7">
        <v>15.53972602739726</v>
      </c>
      <c r="L7">
        <f>MAX(E51:E63)</f>
        <v>34.9</v>
      </c>
      <c r="M7">
        <f>MIN(F51:F63)</f>
        <v>-3.6</v>
      </c>
      <c r="N7">
        <f>SUM(G51:G63)</f>
        <v>1675.6999999999998</v>
      </c>
      <c r="P7" s="6"/>
    </row>
    <row r="8" spans="1:16" ht="16" x14ac:dyDescent="0.2">
      <c r="B8">
        <v>1962</v>
      </c>
      <c r="C8">
        <v>6</v>
      </c>
      <c r="D8">
        <v>20.9</v>
      </c>
      <c r="E8">
        <v>29.2</v>
      </c>
      <c r="F8">
        <v>12.6</v>
      </c>
      <c r="G8">
        <v>244.5</v>
      </c>
      <c r="J8">
        <v>1967</v>
      </c>
      <c r="K8">
        <v>15.805479452054794</v>
      </c>
      <c r="L8">
        <f>MAX(E63:E75)</f>
        <v>37.200000000000003</v>
      </c>
      <c r="M8">
        <f>MIN(F63:F75)</f>
        <v>-4</v>
      </c>
      <c r="N8">
        <f>SUM(G63:G75)</f>
        <v>1032.8</v>
      </c>
      <c r="P8" s="6"/>
    </row>
    <row r="9" spans="1:16" ht="16" x14ac:dyDescent="0.2">
      <c r="B9">
        <v>1962</v>
      </c>
      <c r="C9">
        <v>7</v>
      </c>
      <c r="D9">
        <v>25.1</v>
      </c>
      <c r="E9">
        <v>34.1</v>
      </c>
      <c r="F9">
        <v>16.600000000000001</v>
      </c>
      <c r="G9">
        <v>166.9</v>
      </c>
      <c r="J9">
        <v>1968</v>
      </c>
      <c r="K9">
        <v>15.682191780821919</v>
      </c>
      <c r="L9">
        <f>MAX(E75:E87)</f>
        <v>33.5</v>
      </c>
      <c r="M9">
        <f>MIN(F75:F87)</f>
        <v>-2.9</v>
      </c>
      <c r="N9">
        <f>SUM(G75:G87)</f>
        <v>1545.5</v>
      </c>
      <c r="P9" s="6"/>
    </row>
    <row r="10" spans="1:16" ht="16" x14ac:dyDescent="0.2">
      <c r="B10">
        <v>1962</v>
      </c>
      <c r="C10">
        <v>8</v>
      </c>
      <c r="D10">
        <v>28.1</v>
      </c>
      <c r="E10">
        <v>37.6</v>
      </c>
      <c r="F10">
        <v>21.8</v>
      </c>
      <c r="G10">
        <v>50.1</v>
      </c>
      <c r="J10">
        <v>1969</v>
      </c>
      <c r="K10">
        <v>15.687671232876712</v>
      </c>
      <c r="L10">
        <f>MAX(E87:E99)</f>
        <v>36.6</v>
      </c>
      <c r="M10">
        <f>MIN(F87:F99)</f>
        <v>-4</v>
      </c>
      <c r="N10">
        <f>SUM(G87:G99)</f>
        <v>1401.5</v>
      </c>
      <c r="P10" s="6"/>
    </row>
    <row r="11" spans="1:16" ht="16" x14ac:dyDescent="0.2">
      <c r="B11">
        <v>1962</v>
      </c>
      <c r="C11">
        <v>9</v>
      </c>
      <c r="D11">
        <v>24.5</v>
      </c>
      <c r="E11">
        <v>32.9</v>
      </c>
      <c r="F11">
        <v>12.2</v>
      </c>
      <c r="G11">
        <v>4.9000000000000004</v>
      </c>
      <c r="J11">
        <v>1970</v>
      </c>
      <c r="K11">
        <v>15.24931506849315</v>
      </c>
      <c r="L11">
        <f>MAX(E99:E111)</f>
        <v>35.5</v>
      </c>
      <c r="M11">
        <f>MIN(F99:F111)</f>
        <v>-4</v>
      </c>
      <c r="N11">
        <f>SUM(G99:G111)</f>
        <v>1154</v>
      </c>
      <c r="P11" s="6"/>
    </row>
    <row r="12" spans="1:16" ht="16" x14ac:dyDescent="0.2">
      <c r="B12">
        <v>1962</v>
      </c>
      <c r="C12">
        <v>10</v>
      </c>
      <c r="D12">
        <v>16.7</v>
      </c>
      <c r="E12">
        <v>29.5</v>
      </c>
      <c r="F12">
        <v>8.1999999999999993</v>
      </c>
      <c r="G12">
        <v>119.8</v>
      </c>
      <c r="J12">
        <v>1971</v>
      </c>
      <c r="K12">
        <v>15.087671232876712</v>
      </c>
      <c r="L12">
        <f>MAX(E111:E123)</f>
        <v>34.4</v>
      </c>
      <c r="M12">
        <f>MIN(F111:F123)</f>
        <v>-2.2000000000000002</v>
      </c>
      <c r="N12">
        <f>SUM(G111:G123)</f>
        <v>1552</v>
      </c>
      <c r="P12" s="6"/>
    </row>
    <row r="13" spans="1:16" ht="16" x14ac:dyDescent="0.2">
      <c r="B13">
        <v>1962</v>
      </c>
      <c r="C13">
        <v>11</v>
      </c>
      <c r="D13">
        <v>11.3</v>
      </c>
      <c r="E13">
        <v>25.6</v>
      </c>
      <c r="F13">
        <v>0.1</v>
      </c>
      <c r="G13">
        <v>151.80000000000001</v>
      </c>
      <c r="J13">
        <v>1972</v>
      </c>
      <c r="K13">
        <v>15.783561643835617</v>
      </c>
      <c r="L13">
        <f>MAX(E123:E135)</f>
        <v>35.200000000000003</v>
      </c>
      <c r="M13">
        <f>MIN(F123:F135)</f>
        <v>-2.1</v>
      </c>
      <c r="N13">
        <f>SUM(G123:G135)</f>
        <v>1763.5</v>
      </c>
      <c r="P13" s="6"/>
    </row>
    <row r="14" spans="1:16" ht="16" x14ac:dyDescent="0.2">
      <c r="B14">
        <v>1962</v>
      </c>
      <c r="C14">
        <v>12</v>
      </c>
      <c r="D14">
        <v>7</v>
      </c>
      <c r="E14">
        <v>16.3</v>
      </c>
      <c r="F14">
        <v>-0.3</v>
      </c>
      <c r="G14">
        <v>62.8</v>
      </c>
      <c r="J14">
        <v>1973</v>
      </c>
      <c r="K14">
        <v>15.70958904109589</v>
      </c>
      <c r="L14">
        <f>MAX(E135:E147)</f>
        <v>34.700000000000003</v>
      </c>
      <c r="M14">
        <f>MIN(F135:F147)</f>
        <v>-2</v>
      </c>
      <c r="N14">
        <f>SUM(G135:G147)</f>
        <v>1178.5</v>
      </c>
      <c r="P14" s="6"/>
    </row>
    <row r="15" spans="1:16" ht="16" x14ac:dyDescent="0.2">
      <c r="B15">
        <v>1963</v>
      </c>
      <c r="C15">
        <v>1</v>
      </c>
      <c r="D15">
        <v>3.2</v>
      </c>
      <c r="E15">
        <v>12.7</v>
      </c>
      <c r="F15">
        <v>-5.5</v>
      </c>
      <c r="G15">
        <v>0.2</v>
      </c>
      <c r="J15">
        <v>1974</v>
      </c>
      <c r="K15">
        <v>15.246575342465754</v>
      </c>
      <c r="L15">
        <f>MAX(E147:E159)</f>
        <v>34.200000000000003</v>
      </c>
      <c r="M15">
        <f>MIN(F147:F159)</f>
        <v>-2.7</v>
      </c>
      <c r="N15">
        <f>SUM(G147:G159)</f>
        <v>1648</v>
      </c>
      <c r="P15" s="6"/>
    </row>
    <row r="16" spans="1:16" x14ac:dyDescent="0.2">
      <c r="B16">
        <v>1963</v>
      </c>
      <c r="C16">
        <v>2</v>
      </c>
      <c r="D16">
        <v>4.8</v>
      </c>
      <c r="E16">
        <v>15.3</v>
      </c>
      <c r="F16">
        <v>-4.0999999999999996</v>
      </c>
      <c r="G16">
        <v>21.3</v>
      </c>
      <c r="J16">
        <v>1975</v>
      </c>
      <c r="K16">
        <v>15.638356164383561</v>
      </c>
      <c r="L16">
        <f>MAX(E159:E171)</f>
        <v>35.6</v>
      </c>
      <c r="M16">
        <f>MIN(F159:F171)</f>
        <v>-3.9</v>
      </c>
      <c r="N16">
        <f>SUM(G159:G171)</f>
        <v>1541</v>
      </c>
    </row>
    <row r="17" spans="2:14" x14ac:dyDescent="0.2">
      <c r="B17">
        <v>1963</v>
      </c>
      <c r="C17">
        <v>3</v>
      </c>
      <c r="D17">
        <v>7.6</v>
      </c>
      <c r="E17">
        <v>20.5</v>
      </c>
      <c r="F17">
        <v>-2.1</v>
      </c>
      <c r="G17">
        <v>86.7</v>
      </c>
      <c r="J17">
        <v>1976</v>
      </c>
      <c r="K17">
        <v>15.079452054794521</v>
      </c>
      <c r="L17">
        <f>MAX(E171:E183)</f>
        <v>35.4</v>
      </c>
      <c r="M17">
        <f>MIN(F171:F183)</f>
        <v>-3.9</v>
      </c>
      <c r="N17">
        <f>SUM(G171:G183)</f>
        <v>1577</v>
      </c>
    </row>
    <row r="18" spans="2:14" x14ac:dyDescent="0.2">
      <c r="B18">
        <v>1963</v>
      </c>
      <c r="C18">
        <v>4</v>
      </c>
      <c r="D18">
        <v>13.9</v>
      </c>
      <c r="E18">
        <v>26.9</v>
      </c>
      <c r="F18">
        <v>2.4</v>
      </c>
      <c r="G18">
        <v>76.099999999999994</v>
      </c>
      <c r="J18">
        <v>1977</v>
      </c>
      <c r="K18">
        <v>15.873972602739727</v>
      </c>
      <c r="L18">
        <f>MAX(E183:E195)</f>
        <v>34.9</v>
      </c>
      <c r="M18">
        <f>MIN(F183:F195)</f>
        <v>-3.8</v>
      </c>
      <c r="N18">
        <f>SUM(G183:G195)</f>
        <v>1482</v>
      </c>
    </row>
    <row r="19" spans="2:14" x14ac:dyDescent="0.2">
      <c r="B19">
        <v>1963</v>
      </c>
      <c r="C19">
        <v>5</v>
      </c>
      <c r="D19">
        <v>18.399999999999999</v>
      </c>
      <c r="E19">
        <v>31.2</v>
      </c>
      <c r="F19">
        <v>8.1</v>
      </c>
      <c r="G19">
        <v>135.1</v>
      </c>
      <c r="J19">
        <v>1978</v>
      </c>
      <c r="K19">
        <v>16.139726027397259</v>
      </c>
      <c r="L19">
        <f>MAX(E195:E207)</f>
        <v>36.299999999999997</v>
      </c>
      <c r="M19">
        <f>MIN(F195:F207)</f>
        <v>-2</v>
      </c>
      <c r="N19">
        <f>SUM(G195:G207)</f>
        <v>1089</v>
      </c>
    </row>
    <row r="20" spans="2:14" x14ac:dyDescent="0.2">
      <c r="B20">
        <v>1963</v>
      </c>
      <c r="C20">
        <v>6</v>
      </c>
      <c r="D20">
        <v>21.8</v>
      </c>
      <c r="E20">
        <v>35.700000000000003</v>
      </c>
      <c r="F20">
        <v>10.3</v>
      </c>
      <c r="G20">
        <v>248.2</v>
      </c>
      <c r="J20">
        <v>1979</v>
      </c>
      <c r="K20">
        <v>16.920547945205481</v>
      </c>
      <c r="L20">
        <f>MAX(E207:E219)</f>
        <v>34.299999999999997</v>
      </c>
      <c r="M20">
        <f>MIN(F207:F219)</f>
        <v>-1.1000000000000001</v>
      </c>
      <c r="N20">
        <f>SUM(G207:G219)</f>
        <v>1542</v>
      </c>
    </row>
    <row r="21" spans="2:14" x14ac:dyDescent="0.2">
      <c r="B21">
        <v>1963</v>
      </c>
      <c r="C21">
        <v>7</v>
      </c>
      <c r="D21">
        <v>25.7</v>
      </c>
      <c r="E21">
        <v>35.5</v>
      </c>
      <c r="F21">
        <v>16.8</v>
      </c>
      <c r="G21">
        <v>65.900000000000006</v>
      </c>
      <c r="J21">
        <v>1980</v>
      </c>
      <c r="K21">
        <v>15.427397260273972</v>
      </c>
      <c r="L21">
        <f>MAX(E219:E231)</f>
        <v>33</v>
      </c>
      <c r="M21">
        <f>MIN(F219:F231)</f>
        <v>-2.2000000000000002</v>
      </c>
      <c r="N21">
        <f>SUM(G219:G231)</f>
        <v>1581</v>
      </c>
    </row>
    <row r="22" spans="2:14" x14ac:dyDescent="0.2">
      <c r="B22">
        <v>1963</v>
      </c>
      <c r="C22">
        <v>8</v>
      </c>
      <c r="D22">
        <v>26.6</v>
      </c>
      <c r="E22">
        <v>37.200000000000003</v>
      </c>
      <c r="F22">
        <v>20.9</v>
      </c>
      <c r="G22">
        <v>382.2</v>
      </c>
      <c r="J22">
        <v>1981</v>
      </c>
      <c r="K22">
        <v>15.079452054794521</v>
      </c>
      <c r="L22">
        <f>MAX(E231:E243)</f>
        <v>34.299999999999997</v>
      </c>
      <c r="M22">
        <f>MIN(F231:F243)</f>
        <v>-3.5</v>
      </c>
      <c r="N22">
        <f>SUM(G231:G243)</f>
        <v>1496</v>
      </c>
    </row>
    <row r="23" spans="2:14" x14ac:dyDescent="0.2">
      <c r="B23">
        <v>1963</v>
      </c>
      <c r="C23">
        <v>9</v>
      </c>
      <c r="D23">
        <v>21.4</v>
      </c>
      <c r="E23">
        <v>30.6</v>
      </c>
      <c r="F23">
        <v>11.7</v>
      </c>
      <c r="G23">
        <v>144.19999999999999</v>
      </c>
      <c r="J23">
        <v>1982</v>
      </c>
      <c r="K23">
        <v>16.030136986301368</v>
      </c>
      <c r="L23">
        <f>MAX(E243:E255)</f>
        <v>33</v>
      </c>
      <c r="M23">
        <f>MIN(F243:F255)</f>
        <v>-2.4</v>
      </c>
      <c r="N23">
        <f>SUM(G243:G255)</f>
        <v>1605</v>
      </c>
    </row>
    <row r="24" spans="2:14" x14ac:dyDescent="0.2">
      <c r="B24">
        <v>1963</v>
      </c>
      <c r="C24">
        <v>10</v>
      </c>
      <c r="D24">
        <v>16.3</v>
      </c>
      <c r="E24">
        <v>27</v>
      </c>
      <c r="F24">
        <v>8.4</v>
      </c>
      <c r="G24">
        <v>294.7</v>
      </c>
      <c r="J24">
        <v>1983</v>
      </c>
      <c r="K24">
        <v>15.761643835616438</v>
      </c>
      <c r="L24">
        <f>MAX(E255:E267)</f>
        <v>37.1</v>
      </c>
      <c r="M24">
        <f>MIN(F255:F267)</f>
        <v>-2.5</v>
      </c>
      <c r="N24">
        <f>SUM(G255:G267)</f>
        <v>1390.5</v>
      </c>
    </row>
    <row r="25" spans="2:14" x14ac:dyDescent="0.2">
      <c r="B25">
        <v>1963</v>
      </c>
      <c r="C25">
        <v>11</v>
      </c>
      <c r="D25">
        <v>12.1</v>
      </c>
      <c r="E25">
        <v>23.1</v>
      </c>
      <c r="F25">
        <v>3.1</v>
      </c>
      <c r="G25">
        <v>90.6</v>
      </c>
      <c r="J25">
        <v>1984</v>
      </c>
      <c r="K25">
        <v>14.997260273972604</v>
      </c>
      <c r="L25">
        <f>MAX(E267:E279)</f>
        <v>38.1</v>
      </c>
      <c r="M25">
        <f>MIN(F267:F279)</f>
        <v>-3.5</v>
      </c>
      <c r="N25">
        <f>SUM(G267:G279)</f>
        <v>884</v>
      </c>
    </row>
    <row r="26" spans="2:14" x14ac:dyDescent="0.2">
      <c r="B26">
        <v>1963</v>
      </c>
      <c r="C26">
        <v>12</v>
      </c>
      <c r="D26">
        <v>8.1</v>
      </c>
      <c r="E26">
        <v>18.7</v>
      </c>
      <c r="F26">
        <v>-0.9</v>
      </c>
      <c r="G26">
        <v>29.8</v>
      </c>
      <c r="J26">
        <v>1985</v>
      </c>
      <c r="K26">
        <v>15.704109589041096</v>
      </c>
      <c r="L26">
        <f>MAX(E279:E291)</f>
        <v>35</v>
      </c>
      <c r="M26">
        <f>MIN(F279:F291)</f>
        <v>-2.5</v>
      </c>
      <c r="N26">
        <f>SUM(G279:G291)</f>
        <v>1531.5</v>
      </c>
    </row>
    <row r="27" spans="2:14" x14ac:dyDescent="0.2">
      <c r="B27">
        <v>1964</v>
      </c>
      <c r="C27">
        <v>1</v>
      </c>
      <c r="D27">
        <v>5.4</v>
      </c>
      <c r="E27">
        <v>18.7</v>
      </c>
      <c r="F27">
        <v>-2.8</v>
      </c>
      <c r="G27">
        <v>144.6</v>
      </c>
      <c r="J27">
        <v>1986</v>
      </c>
      <c r="K27">
        <v>15.210958904109589</v>
      </c>
      <c r="L27">
        <f>MAX(E291:E303)</f>
        <v>34.6</v>
      </c>
      <c r="M27">
        <f>MIN(F291:F303)</f>
        <v>-1.6</v>
      </c>
      <c r="N27">
        <f>SUM(G291:G303)</f>
        <v>1496</v>
      </c>
    </row>
    <row r="28" spans="2:14" x14ac:dyDescent="0.2">
      <c r="B28">
        <v>1964</v>
      </c>
      <c r="C28">
        <v>2</v>
      </c>
      <c r="D28">
        <v>4.2</v>
      </c>
      <c r="E28">
        <v>12.6</v>
      </c>
      <c r="F28">
        <v>-2.4</v>
      </c>
      <c r="G28">
        <v>64</v>
      </c>
      <c r="J28">
        <v>1987</v>
      </c>
      <c r="K28">
        <v>16.315068493150687</v>
      </c>
      <c r="L28">
        <f>MAX(E303:E315)</f>
        <v>37.299999999999997</v>
      </c>
      <c r="M28">
        <f>MIN(F303:F315)</f>
        <v>-0.7</v>
      </c>
      <c r="N28">
        <f>SUM(G303:G315)</f>
        <v>1117</v>
      </c>
    </row>
    <row r="29" spans="2:14" x14ac:dyDescent="0.2">
      <c r="B29">
        <v>1964</v>
      </c>
      <c r="C29">
        <v>3</v>
      </c>
      <c r="D29">
        <v>7.6</v>
      </c>
      <c r="E29">
        <v>21.3</v>
      </c>
      <c r="F29">
        <v>0</v>
      </c>
      <c r="G29">
        <v>99.7</v>
      </c>
      <c r="J29">
        <v>1988</v>
      </c>
      <c r="K29">
        <v>15.504109589041096</v>
      </c>
      <c r="L29">
        <f>MAX(E315:E327)</f>
        <v>32.9</v>
      </c>
      <c r="M29">
        <f>MIN(F315:F327)</f>
        <v>-1.7</v>
      </c>
      <c r="N29">
        <f>SUM(G315:G327)</f>
        <v>1610.5</v>
      </c>
    </row>
    <row r="30" spans="2:14" x14ac:dyDescent="0.2">
      <c r="B30">
        <v>1964</v>
      </c>
      <c r="C30">
        <v>4</v>
      </c>
      <c r="D30">
        <v>15.3</v>
      </c>
      <c r="E30">
        <v>26.3</v>
      </c>
      <c r="F30">
        <v>5.5</v>
      </c>
      <c r="G30">
        <v>94.2</v>
      </c>
      <c r="J30">
        <v>1989</v>
      </c>
      <c r="K30">
        <v>16.419178082191781</v>
      </c>
      <c r="L30">
        <f>MAX(E327:E339)</f>
        <v>33.5</v>
      </c>
      <c r="M30">
        <f>MIN(F327:F339)</f>
        <v>-1.4</v>
      </c>
      <c r="N30">
        <f>SUM(G327:G339)</f>
        <v>1970</v>
      </c>
    </row>
    <row r="31" spans="2:14" x14ac:dyDescent="0.2">
      <c r="B31">
        <v>1964</v>
      </c>
      <c r="C31">
        <v>5</v>
      </c>
      <c r="D31">
        <v>18.899999999999999</v>
      </c>
      <c r="E31">
        <v>31.4</v>
      </c>
      <c r="F31">
        <v>9.9</v>
      </c>
      <c r="G31">
        <v>80.400000000000006</v>
      </c>
      <c r="J31">
        <v>1990</v>
      </c>
      <c r="K31">
        <v>17.065753424657533</v>
      </c>
      <c r="L31">
        <f>MAX(E339:E351)</f>
        <v>35.9</v>
      </c>
      <c r="M31">
        <f>MIN(F339:F351)</f>
        <v>-1.4</v>
      </c>
      <c r="N31">
        <f>SUM(G339:G351)</f>
        <v>1567.5</v>
      </c>
    </row>
    <row r="32" spans="2:14" x14ac:dyDescent="0.2">
      <c r="B32">
        <v>1964</v>
      </c>
      <c r="C32">
        <v>6</v>
      </c>
      <c r="D32">
        <v>21.5</v>
      </c>
      <c r="E32">
        <v>30.5</v>
      </c>
      <c r="F32">
        <v>11.3</v>
      </c>
      <c r="G32">
        <v>139.9</v>
      </c>
      <c r="J32">
        <v>1991</v>
      </c>
      <c r="K32">
        <v>16.427397260273974</v>
      </c>
      <c r="L32">
        <f>MAX(E351:E363)</f>
        <v>35.6</v>
      </c>
      <c r="M32">
        <f>MIN(F351:F363)</f>
        <v>-0.8</v>
      </c>
      <c r="N32">
        <f>SUM(G351:G363)</f>
        <v>2092</v>
      </c>
    </row>
    <row r="33" spans="2:14" x14ac:dyDescent="0.2">
      <c r="B33">
        <v>1964</v>
      </c>
      <c r="C33">
        <v>7</v>
      </c>
      <c r="D33">
        <v>25.5</v>
      </c>
      <c r="E33">
        <v>34</v>
      </c>
      <c r="F33">
        <v>18.3</v>
      </c>
      <c r="G33">
        <v>45.9</v>
      </c>
      <c r="J33">
        <v>1992</v>
      </c>
      <c r="K33">
        <v>16.043835616438358</v>
      </c>
      <c r="L33">
        <f>MAX(E363:E375)</f>
        <v>35.200000000000003</v>
      </c>
      <c r="M33">
        <f>MIN(F363:F375)</f>
        <v>-0.5</v>
      </c>
      <c r="N33">
        <f>SUM(G363:G375)</f>
        <v>1734.5</v>
      </c>
    </row>
    <row r="34" spans="2:14" x14ac:dyDescent="0.2">
      <c r="B34">
        <v>1964</v>
      </c>
      <c r="C34">
        <v>8</v>
      </c>
      <c r="D34">
        <v>27.8</v>
      </c>
      <c r="E34">
        <v>35.200000000000003</v>
      </c>
      <c r="F34">
        <v>21.6</v>
      </c>
      <c r="G34">
        <v>110.8</v>
      </c>
      <c r="J34">
        <v>1993</v>
      </c>
      <c r="K34">
        <v>15.545205479452054</v>
      </c>
      <c r="L34">
        <f>MAX(E375:E387)</f>
        <v>32.9</v>
      </c>
      <c r="M34">
        <f>MIN(F375:F387)</f>
        <v>-1.3</v>
      </c>
      <c r="N34">
        <f>SUM(G375:G387)</f>
        <v>1922.5</v>
      </c>
    </row>
    <row r="35" spans="2:14" x14ac:dyDescent="0.2">
      <c r="B35">
        <v>1964</v>
      </c>
      <c r="C35">
        <v>9</v>
      </c>
      <c r="D35">
        <v>22.3</v>
      </c>
      <c r="E35">
        <v>32.4</v>
      </c>
      <c r="F35">
        <v>12.3</v>
      </c>
      <c r="G35">
        <v>132.4</v>
      </c>
      <c r="J35">
        <v>1994</v>
      </c>
      <c r="K35">
        <v>16.934246575342467</v>
      </c>
      <c r="L35">
        <f>MAX(E387:E399)</f>
        <v>39.1</v>
      </c>
      <c r="M35">
        <f>MIN(F387:F399)</f>
        <v>-2.2999999999999998</v>
      </c>
      <c r="N35">
        <f>SUM(G387:G399)</f>
        <v>1167.5</v>
      </c>
    </row>
    <row r="36" spans="2:14" x14ac:dyDescent="0.2">
      <c r="B36">
        <v>1964</v>
      </c>
      <c r="C36">
        <v>10</v>
      </c>
      <c r="D36">
        <v>15.9</v>
      </c>
      <c r="E36">
        <v>26</v>
      </c>
      <c r="F36">
        <v>8.3000000000000007</v>
      </c>
      <c r="G36">
        <v>130.5</v>
      </c>
      <c r="J36">
        <v>1995</v>
      </c>
      <c r="K36">
        <v>16.361643835616437</v>
      </c>
      <c r="L36">
        <f>MAX(E399:E411)</f>
        <v>36.4</v>
      </c>
      <c r="M36">
        <f>MIN(F399:F411)</f>
        <v>-1.2</v>
      </c>
      <c r="N36">
        <f>SUM(G399:G411)</f>
        <v>1233</v>
      </c>
    </row>
    <row r="37" spans="2:14" x14ac:dyDescent="0.2">
      <c r="B37">
        <v>1964</v>
      </c>
      <c r="C37">
        <v>11</v>
      </c>
      <c r="D37">
        <v>11.1</v>
      </c>
      <c r="E37">
        <v>21.5</v>
      </c>
      <c r="F37">
        <v>2.4</v>
      </c>
      <c r="G37">
        <v>50.3</v>
      </c>
      <c r="J37">
        <v>1996</v>
      </c>
      <c r="K37">
        <v>15.873972602739727</v>
      </c>
      <c r="L37">
        <f>MAX(E411:E423)</f>
        <v>38.700000000000003</v>
      </c>
      <c r="M37">
        <f>MIN(F411:F423)</f>
        <v>-2.1</v>
      </c>
      <c r="N37">
        <f>SUM(G411:G423)</f>
        <v>1362.5</v>
      </c>
    </row>
    <row r="38" spans="2:14" x14ac:dyDescent="0.2">
      <c r="B38">
        <v>1964</v>
      </c>
      <c r="C38">
        <v>12</v>
      </c>
      <c r="D38">
        <v>7.5</v>
      </c>
      <c r="E38">
        <v>15</v>
      </c>
      <c r="F38">
        <v>-1</v>
      </c>
      <c r="G38">
        <v>47.5</v>
      </c>
      <c r="J38">
        <v>1997</v>
      </c>
      <c r="K38">
        <v>16.731506849315068</v>
      </c>
      <c r="L38">
        <f>MAX(E423:E435)</f>
        <v>37.700000000000003</v>
      </c>
      <c r="M38">
        <f>MIN(F423:F435)</f>
        <v>-2.1</v>
      </c>
      <c r="N38">
        <f>SUM(G423:G435)</f>
        <v>1424</v>
      </c>
    </row>
    <row r="39" spans="2:14" x14ac:dyDescent="0.2">
      <c r="B39">
        <v>1965</v>
      </c>
      <c r="C39">
        <v>1</v>
      </c>
      <c r="D39">
        <v>4.4000000000000004</v>
      </c>
      <c r="E39">
        <v>12.9</v>
      </c>
      <c r="F39">
        <v>-3.3</v>
      </c>
      <c r="G39">
        <v>48</v>
      </c>
      <c r="J39">
        <v>1998</v>
      </c>
      <c r="K39">
        <v>16.772602739726029</v>
      </c>
      <c r="L39">
        <f>MAX(E435:E447)</f>
        <v>36.1</v>
      </c>
      <c r="M39">
        <f>MIN(F435:F447)</f>
        <v>-0.9</v>
      </c>
      <c r="N39">
        <f>SUM(G435:G447)</f>
        <v>1566</v>
      </c>
    </row>
    <row r="40" spans="2:14" x14ac:dyDescent="0.2">
      <c r="B40">
        <v>1965</v>
      </c>
      <c r="C40">
        <v>2</v>
      </c>
      <c r="D40">
        <v>4.7</v>
      </c>
      <c r="E40">
        <v>18.3</v>
      </c>
      <c r="F40">
        <v>-4.7</v>
      </c>
      <c r="G40">
        <v>10.5</v>
      </c>
      <c r="J40">
        <v>1999</v>
      </c>
      <c r="K40">
        <v>17.090410958904108</v>
      </c>
      <c r="L40">
        <f>MAX(E447:E459)</f>
        <v>34.799999999999997</v>
      </c>
      <c r="M40">
        <f>MIN(F447:F459)</f>
        <v>-1.4</v>
      </c>
      <c r="N40">
        <f>SUM(G447:G459)</f>
        <v>1688.5</v>
      </c>
    </row>
    <row r="41" spans="2:14" x14ac:dyDescent="0.2">
      <c r="B41">
        <v>1965</v>
      </c>
      <c r="C41">
        <v>3</v>
      </c>
      <c r="D41">
        <v>6.9</v>
      </c>
      <c r="E41">
        <v>16.399999999999999</v>
      </c>
      <c r="F41">
        <v>-1.1000000000000001</v>
      </c>
      <c r="G41">
        <v>44.5</v>
      </c>
      <c r="J41">
        <v>2000</v>
      </c>
      <c r="K41">
        <v>16.923287671232877</v>
      </c>
      <c r="L41">
        <f>MAX(E459:E471)</f>
        <v>37.799999999999997</v>
      </c>
      <c r="M41">
        <f>MIN(F459:F471)</f>
        <v>-2.4</v>
      </c>
      <c r="N41">
        <f>SUM(G459:G471)</f>
        <v>1729.5</v>
      </c>
    </row>
    <row r="42" spans="2:14" x14ac:dyDescent="0.2">
      <c r="B42">
        <v>1965</v>
      </c>
      <c r="C42">
        <v>4</v>
      </c>
      <c r="D42">
        <v>11.1</v>
      </c>
      <c r="E42">
        <v>25.1</v>
      </c>
      <c r="F42">
        <v>2.6</v>
      </c>
      <c r="G42">
        <v>87</v>
      </c>
      <c r="J42">
        <v>2001</v>
      </c>
      <c r="K42">
        <v>16.547945205479451</v>
      </c>
      <c r="L42">
        <f>MAX(E471:E483)</f>
        <v>38.1</v>
      </c>
      <c r="M42">
        <f>MIN(F471:F483)</f>
        <v>-2.4</v>
      </c>
      <c r="N42">
        <f>SUM(G471:G483)</f>
        <v>1589.5</v>
      </c>
    </row>
    <row r="43" spans="2:14" x14ac:dyDescent="0.2">
      <c r="B43">
        <v>1965</v>
      </c>
      <c r="C43">
        <v>5</v>
      </c>
      <c r="D43">
        <v>17.2</v>
      </c>
      <c r="E43">
        <v>26.6</v>
      </c>
      <c r="F43">
        <v>7.4</v>
      </c>
      <c r="G43">
        <v>400</v>
      </c>
      <c r="J43">
        <v>2002</v>
      </c>
      <c r="K43">
        <v>16.764383561643836</v>
      </c>
      <c r="L43">
        <f>MAX(E483:E495)</f>
        <v>35.799999999999997</v>
      </c>
      <c r="M43">
        <f>MIN(F483:F495)</f>
        <v>-0.8</v>
      </c>
      <c r="N43">
        <f>SUM(G483:G495)</f>
        <v>1395.5</v>
      </c>
    </row>
    <row r="44" spans="2:14" x14ac:dyDescent="0.2">
      <c r="B44">
        <v>1965</v>
      </c>
      <c r="C44">
        <v>6</v>
      </c>
      <c r="D44">
        <v>21.6</v>
      </c>
      <c r="E44">
        <v>31.2</v>
      </c>
      <c r="F44">
        <v>13.4</v>
      </c>
      <c r="G44">
        <v>219.5</v>
      </c>
      <c r="J44">
        <v>2003</v>
      </c>
      <c r="K44">
        <v>16.052054794520547</v>
      </c>
      <c r="L44">
        <f>MAX(E495:E507)</f>
        <v>34.299999999999997</v>
      </c>
      <c r="M44">
        <f>MIN(F495:F507)</f>
        <v>-0.8</v>
      </c>
      <c r="N44">
        <f>SUM(G495:G507)</f>
        <v>1857.5</v>
      </c>
    </row>
    <row r="45" spans="2:14" x14ac:dyDescent="0.2">
      <c r="B45">
        <v>1965</v>
      </c>
      <c r="C45">
        <v>7</v>
      </c>
      <c r="D45">
        <v>24.2</v>
      </c>
      <c r="E45">
        <v>33.6</v>
      </c>
      <c r="F45">
        <v>17.100000000000001</v>
      </c>
      <c r="G45">
        <v>97</v>
      </c>
      <c r="J45">
        <v>2004</v>
      </c>
      <c r="K45">
        <v>17.383561643835616</v>
      </c>
      <c r="L45">
        <f>MAX(E507:E519)</f>
        <v>39.5</v>
      </c>
      <c r="M45">
        <f>MIN(F507:F519)</f>
        <v>-0.8</v>
      </c>
      <c r="N45">
        <f>SUM(G507:G519)</f>
        <v>1827</v>
      </c>
    </row>
    <row r="46" spans="2:14" x14ac:dyDescent="0.2">
      <c r="B46">
        <v>1965</v>
      </c>
      <c r="C46">
        <v>8</v>
      </c>
      <c r="D46">
        <v>26.7</v>
      </c>
      <c r="E46">
        <v>35</v>
      </c>
      <c r="F46">
        <v>19.899999999999999</v>
      </c>
      <c r="G46">
        <v>234.5</v>
      </c>
      <c r="J46">
        <v>2005</v>
      </c>
      <c r="K46">
        <v>16.268493150684932</v>
      </c>
      <c r="L46">
        <f>MAX(E519:E531)</f>
        <v>36.200000000000003</v>
      </c>
      <c r="M46">
        <f>MIN(F519:F531)</f>
        <v>-1.1000000000000001</v>
      </c>
      <c r="N46">
        <f>SUM(G519:G531)</f>
        <v>1549</v>
      </c>
    </row>
    <row r="47" spans="2:14" x14ac:dyDescent="0.2">
      <c r="B47">
        <v>1965</v>
      </c>
      <c r="C47">
        <v>9</v>
      </c>
      <c r="D47">
        <v>22.2</v>
      </c>
      <c r="E47">
        <v>29.9</v>
      </c>
      <c r="F47">
        <v>13.9</v>
      </c>
      <c r="G47">
        <v>204.5</v>
      </c>
      <c r="J47">
        <v>2006</v>
      </c>
      <c r="K47">
        <v>16.449315068493149</v>
      </c>
      <c r="L47">
        <f>MAX(E531:E543)</f>
        <v>36.1</v>
      </c>
      <c r="M47">
        <f>MIN(F531:F543)</f>
        <v>-1.5</v>
      </c>
      <c r="N47">
        <f>SUM(G531:G543)</f>
        <v>1782</v>
      </c>
    </row>
    <row r="48" spans="2:14" x14ac:dyDescent="0.2">
      <c r="B48">
        <v>1965</v>
      </c>
      <c r="C48">
        <v>10</v>
      </c>
      <c r="D48">
        <v>16.899999999999999</v>
      </c>
      <c r="E48">
        <v>26.8</v>
      </c>
      <c r="F48">
        <v>10.3</v>
      </c>
      <c r="G48">
        <v>53</v>
      </c>
      <c r="J48">
        <v>2007</v>
      </c>
      <c r="K48">
        <v>17.013698630136986</v>
      </c>
      <c r="L48">
        <f>MAX(E543:E555)</f>
        <v>37.5</v>
      </c>
      <c r="M48">
        <f>MIN(F543:F555)</f>
        <v>0.2</v>
      </c>
      <c r="N48">
        <f>SUM(G543:G555)</f>
        <v>1349.5</v>
      </c>
    </row>
    <row r="49" spans="2:14" x14ac:dyDescent="0.2">
      <c r="B49">
        <v>1965</v>
      </c>
      <c r="C49">
        <v>11</v>
      </c>
      <c r="D49">
        <v>12.7</v>
      </c>
      <c r="E49">
        <v>24.9</v>
      </c>
      <c r="F49">
        <v>4.5999999999999996</v>
      </c>
      <c r="G49">
        <v>131.5</v>
      </c>
      <c r="J49">
        <v>2008</v>
      </c>
      <c r="K49">
        <v>16.493150684931507</v>
      </c>
      <c r="L49">
        <f>MAX(E555:E567)</f>
        <v>35.299999999999997</v>
      </c>
      <c r="M49">
        <f>MIN(F555:F567)</f>
        <v>-0.1</v>
      </c>
      <c r="N49">
        <f>SUM(G555:G567)</f>
        <v>1999.5</v>
      </c>
    </row>
    <row r="50" spans="2:14" x14ac:dyDescent="0.2">
      <c r="B50">
        <v>1965</v>
      </c>
      <c r="C50">
        <v>12</v>
      </c>
      <c r="D50">
        <v>7</v>
      </c>
      <c r="E50">
        <v>17.600000000000001</v>
      </c>
      <c r="F50">
        <v>-1.4</v>
      </c>
      <c r="G50">
        <v>66</v>
      </c>
      <c r="J50">
        <v>2009</v>
      </c>
      <c r="K50">
        <v>16.742465753424657</v>
      </c>
      <c r="L50">
        <f>MAX(E567:E579)</f>
        <v>34.200000000000003</v>
      </c>
      <c r="M50">
        <f>MIN(F567:F579)</f>
        <v>-0.3</v>
      </c>
      <c r="N50">
        <f>SUM(G567:G579)</f>
        <v>1810.5</v>
      </c>
    </row>
    <row r="51" spans="2:14" x14ac:dyDescent="0.2">
      <c r="B51">
        <v>1966</v>
      </c>
      <c r="C51">
        <v>1</v>
      </c>
      <c r="D51">
        <v>4.5999999999999996</v>
      </c>
      <c r="E51">
        <v>17.2</v>
      </c>
      <c r="F51">
        <v>-2.9</v>
      </c>
      <c r="G51">
        <v>23.6</v>
      </c>
      <c r="J51">
        <v>2010</v>
      </c>
      <c r="K51">
        <v>16.947945205479453</v>
      </c>
      <c r="L51">
        <f>MAX(E579:E591)</f>
        <v>37.200000000000003</v>
      </c>
      <c r="M51">
        <f>MIN(F579:F591)</f>
        <v>-1.1000000000000001</v>
      </c>
      <c r="N51">
        <f>SUM(G579:G591)</f>
        <v>1683</v>
      </c>
    </row>
    <row r="52" spans="2:14" x14ac:dyDescent="0.2">
      <c r="B52">
        <v>1966</v>
      </c>
      <c r="C52">
        <v>2</v>
      </c>
      <c r="D52">
        <v>7.2</v>
      </c>
      <c r="E52">
        <v>19.100000000000001</v>
      </c>
      <c r="F52">
        <v>-3.2</v>
      </c>
      <c r="G52">
        <v>122</v>
      </c>
      <c r="J52">
        <v>2011</v>
      </c>
      <c r="K52">
        <v>16.531506849315068</v>
      </c>
      <c r="L52">
        <f>MAX(E591:E603)</f>
        <v>36.1</v>
      </c>
      <c r="M52">
        <f>MIN(F591:F603)</f>
        <v>-1.1000000000000001</v>
      </c>
      <c r="N52">
        <f>SUM(G591:G603)</f>
        <v>1529.5</v>
      </c>
    </row>
    <row r="53" spans="2:14" x14ac:dyDescent="0.2">
      <c r="B53">
        <v>1966</v>
      </c>
      <c r="C53">
        <v>3</v>
      </c>
      <c r="D53">
        <v>9.6</v>
      </c>
      <c r="E53">
        <v>21.6</v>
      </c>
      <c r="F53">
        <v>1.2</v>
      </c>
      <c r="G53">
        <v>99.9</v>
      </c>
      <c r="J53">
        <v>2012</v>
      </c>
      <c r="K53">
        <v>16.364383561643837</v>
      </c>
      <c r="L53">
        <f>MAX(E603:E615)</f>
        <v>35.700000000000003</v>
      </c>
      <c r="M53">
        <f>MIN(F603:F615)</f>
        <v>-1</v>
      </c>
      <c r="N53">
        <f>SUM(G603:G615)</f>
        <v>1570</v>
      </c>
    </row>
    <row r="54" spans="2:14" x14ac:dyDescent="0.2">
      <c r="B54">
        <v>1966</v>
      </c>
      <c r="C54">
        <v>4</v>
      </c>
      <c r="D54">
        <v>13.6</v>
      </c>
      <c r="E54">
        <v>26.4</v>
      </c>
      <c r="F54">
        <v>5</v>
      </c>
      <c r="G54">
        <v>133.69999999999999</v>
      </c>
    </row>
    <row r="55" spans="2:14" x14ac:dyDescent="0.2">
      <c r="B55">
        <v>1966</v>
      </c>
      <c r="C55">
        <v>5</v>
      </c>
      <c r="D55">
        <v>17.899999999999999</v>
      </c>
      <c r="E55">
        <v>27.5</v>
      </c>
      <c r="F55">
        <v>9</v>
      </c>
      <c r="G55">
        <v>196.2</v>
      </c>
    </row>
    <row r="56" spans="2:14" x14ac:dyDescent="0.2">
      <c r="B56">
        <v>1966</v>
      </c>
      <c r="C56">
        <v>6</v>
      </c>
      <c r="D56">
        <v>20.100000000000001</v>
      </c>
      <c r="E56">
        <v>30.5</v>
      </c>
      <c r="F56">
        <v>11.1</v>
      </c>
      <c r="G56">
        <v>510.2</v>
      </c>
    </row>
    <row r="57" spans="2:14" x14ac:dyDescent="0.2">
      <c r="B57">
        <v>1966</v>
      </c>
      <c r="C57">
        <v>7</v>
      </c>
      <c r="D57">
        <v>24.4</v>
      </c>
      <c r="E57">
        <v>33</v>
      </c>
      <c r="F57">
        <v>14.1</v>
      </c>
      <c r="G57">
        <v>160.80000000000001</v>
      </c>
    </row>
    <row r="58" spans="2:14" x14ac:dyDescent="0.2">
      <c r="B58">
        <v>1966</v>
      </c>
      <c r="C58">
        <v>8</v>
      </c>
      <c r="D58">
        <v>26.9</v>
      </c>
      <c r="E58">
        <v>34.9</v>
      </c>
      <c r="F58">
        <v>21.2</v>
      </c>
      <c r="G58">
        <v>54.5</v>
      </c>
    </row>
    <row r="59" spans="2:14" x14ac:dyDescent="0.2">
      <c r="B59">
        <v>1966</v>
      </c>
      <c r="C59">
        <v>9</v>
      </c>
      <c r="D59">
        <v>23.2</v>
      </c>
      <c r="E59">
        <v>32.799999999999997</v>
      </c>
      <c r="F59">
        <v>14.6</v>
      </c>
      <c r="G59">
        <v>197.1</v>
      </c>
    </row>
    <row r="60" spans="2:14" x14ac:dyDescent="0.2">
      <c r="B60">
        <v>1966</v>
      </c>
      <c r="C60">
        <v>10</v>
      </c>
      <c r="D60">
        <v>18.899999999999999</v>
      </c>
      <c r="E60">
        <v>26.7</v>
      </c>
      <c r="F60">
        <v>11</v>
      </c>
      <c r="G60">
        <v>108.5</v>
      </c>
    </row>
    <row r="61" spans="2:14" x14ac:dyDescent="0.2">
      <c r="B61">
        <v>1966</v>
      </c>
      <c r="C61">
        <v>11</v>
      </c>
      <c r="D61">
        <v>12.9</v>
      </c>
      <c r="E61">
        <v>24.9</v>
      </c>
      <c r="F61">
        <v>2.1</v>
      </c>
      <c r="G61">
        <v>29</v>
      </c>
    </row>
    <row r="62" spans="2:14" x14ac:dyDescent="0.2">
      <c r="B62">
        <v>1966</v>
      </c>
      <c r="C62">
        <v>12</v>
      </c>
      <c r="D62">
        <v>6.6</v>
      </c>
      <c r="E62">
        <v>15.3</v>
      </c>
      <c r="F62">
        <v>-1.9</v>
      </c>
      <c r="G62">
        <v>8</v>
      </c>
    </row>
    <row r="63" spans="2:14" x14ac:dyDescent="0.2">
      <c r="B63">
        <v>1967</v>
      </c>
      <c r="C63">
        <v>1</v>
      </c>
      <c r="D63">
        <v>4.4000000000000004</v>
      </c>
      <c r="E63">
        <v>15.4</v>
      </c>
      <c r="F63">
        <v>-3.6</v>
      </c>
      <c r="G63">
        <v>32.200000000000003</v>
      </c>
    </row>
    <row r="64" spans="2:14" x14ac:dyDescent="0.2">
      <c r="B64">
        <v>1967</v>
      </c>
      <c r="C64">
        <v>2</v>
      </c>
      <c r="D64">
        <v>4.9000000000000004</v>
      </c>
      <c r="E64">
        <v>19.100000000000001</v>
      </c>
      <c r="F64">
        <v>-4</v>
      </c>
      <c r="G64">
        <v>43.8</v>
      </c>
    </row>
    <row r="65" spans="2:7" x14ac:dyDescent="0.2">
      <c r="B65">
        <v>1967</v>
      </c>
      <c r="C65">
        <v>3</v>
      </c>
      <c r="D65">
        <v>9.5</v>
      </c>
      <c r="E65">
        <v>23.3</v>
      </c>
      <c r="F65">
        <v>-0.9</v>
      </c>
      <c r="G65">
        <v>69.7</v>
      </c>
    </row>
    <row r="66" spans="2:7" x14ac:dyDescent="0.2">
      <c r="B66">
        <v>1967</v>
      </c>
      <c r="C66">
        <v>4</v>
      </c>
      <c r="D66">
        <v>14.5</v>
      </c>
      <c r="E66">
        <v>24.2</v>
      </c>
      <c r="F66">
        <v>1.8</v>
      </c>
      <c r="G66">
        <v>104.7</v>
      </c>
    </row>
    <row r="67" spans="2:7" x14ac:dyDescent="0.2">
      <c r="B67">
        <v>1967</v>
      </c>
      <c r="C67">
        <v>5</v>
      </c>
      <c r="D67">
        <v>20</v>
      </c>
      <c r="E67">
        <v>30.4</v>
      </c>
      <c r="F67">
        <v>12.3</v>
      </c>
      <c r="G67">
        <v>49.3</v>
      </c>
    </row>
    <row r="68" spans="2:7" x14ac:dyDescent="0.2">
      <c r="B68">
        <v>1967</v>
      </c>
      <c r="C68">
        <v>6</v>
      </c>
      <c r="D68">
        <v>23</v>
      </c>
      <c r="E68">
        <v>30.9</v>
      </c>
      <c r="F68">
        <v>16.2</v>
      </c>
      <c r="G68">
        <v>109.3</v>
      </c>
    </row>
    <row r="69" spans="2:7" x14ac:dyDescent="0.2">
      <c r="B69">
        <v>1967</v>
      </c>
      <c r="C69">
        <v>7</v>
      </c>
      <c r="D69">
        <v>26.3</v>
      </c>
      <c r="E69">
        <v>34.1</v>
      </c>
      <c r="F69">
        <v>19.600000000000001</v>
      </c>
      <c r="G69">
        <v>89.2</v>
      </c>
    </row>
    <row r="70" spans="2:7" x14ac:dyDescent="0.2">
      <c r="B70">
        <v>1967</v>
      </c>
      <c r="C70">
        <v>8</v>
      </c>
      <c r="D70">
        <v>28</v>
      </c>
      <c r="E70">
        <v>37.200000000000003</v>
      </c>
      <c r="F70">
        <v>21.5</v>
      </c>
      <c r="G70">
        <v>67.3</v>
      </c>
    </row>
    <row r="71" spans="2:7" x14ac:dyDescent="0.2">
      <c r="B71">
        <v>1967</v>
      </c>
      <c r="C71">
        <v>9</v>
      </c>
      <c r="D71">
        <v>22.6</v>
      </c>
      <c r="E71">
        <v>31.3</v>
      </c>
      <c r="F71">
        <v>15.4</v>
      </c>
      <c r="G71">
        <v>148.80000000000001</v>
      </c>
    </row>
    <row r="72" spans="2:7" x14ac:dyDescent="0.2">
      <c r="B72">
        <v>1967</v>
      </c>
      <c r="C72">
        <v>10</v>
      </c>
      <c r="D72">
        <v>16.899999999999999</v>
      </c>
      <c r="E72">
        <v>26</v>
      </c>
      <c r="F72">
        <v>9.5</v>
      </c>
      <c r="G72">
        <v>214.7</v>
      </c>
    </row>
    <row r="73" spans="2:7" x14ac:dyDescent="0.2">
      <c r="B73">
        <v>1967</v>
      </c>
      <c r="C73">
        <v>11</v>
      </c>
      <c r="D73">
        <v>12.1</v>
      </c>
      <c r="E73">
        <v>24.1</v>
      </c>
      <c r="F73">
        <v>2.9</v>
      </c>
      <c r="G73">
        <v>61.4</v>
      </c>
    </row>
    <row r="74" spans="2:7" x14ac:dyDescent="0.2">
      <c r="B74">
        <v>1967</v>
      </c>
      <c r="C74">
        <v>12</v>
      </c>
      <c r="D74">
        <v>6.7</v>
      </c>
      <c r="E74">
        <v>16.2</v>
      </c>
      <c r="F74">
        <v>-2.6</v>
      </c>
      <c r="G74">
        <v>32.9</v>
      </c>
    </row>
    <row r="75" spans="2:7" x14ac:dyDescent="0.2">
      <c r="B75">
        <v>1968</v>
      </c>
      <c r="C75">
        <v>1</v>
      </c>
      <c r="D75">
        <v>5.7</v>
      </c>
      <c r="E75">
        <v>16.2</v>
      </c>
      <c r="F75">
        <v>-1.9</v>
      </c>
      <c r="G75">
        <v>9.5</v>
      </c>
    </row>
    <row r="76" spans="2:7" x14ac:dyDescent="0.2">
      <c r="B76">
        <v>1968</v>
      </c>
      <c r="C76">
        <v>2</v>
      </c>
      <c r="D76">
        <v>4.3</v>
      </c>
      <c r="E76">
        <v>15.5</v>
      </c>
      <c r="F76">
        <v>-2.9</v>
      </c>
      <c r="G76">
        <v>48</v>
      </c>
    </row>
    <row r="77" spans="2:7" x14ac:dyDescent="0.2">
      <c r="B77">
        <v>1968</v>
      </c>
      <c r="C77">
        <v>3</v>
      </c>
      <c r="D77">
        <v>10</v>
      </c>
      <c r="E77">
        <v>20.5</v>
      </c>
      <c r="F77">
        <v>1.4</v>
      </c>
      <c r="G77">
        <v>94</v>
      </c>
    </row>
    <row r="78" spans="2:7" x14ac:dyDescent="0.2">
      <c r="B78">
        <v>1968</v>
      </c>
      <c r="C78">
        <v>4</v>
      </c>
      <c r="D78">
        <v>14.1</v>
      </c>
      <c r="E78">
        <v>23.4</v>
      </c>
      <c r="F78">
        <v>6.6</v>
      </c>
      <c r="G78">
        <v>117.5</v>
      </c>
    </row>
    <row r="79" spans="2:7" x14ac:dyDescent="0.2">
      <c r="B79">
        <v>1968</v>
      </c>
      <c r="C79">
        <v>5</v>
      </c>
      <c r="D79">
        <v>17.5</v>
      </c>
      <c r="E79">
        <v>25.5</v>
      </c>
      <c r="F79">
        <v>10</v>
      </c>
      <c r="G79">
        <v>185.5</v>
      </c>
    </row>
    <row r="80" spans="2:7" x14ac:dyDescent="0.2">
      <c r="B80">
        <v>1968</v>
      </c>
      <c r="C80">
        <v>6</v>
      </c>
      <c r="D80">
        <v>22</v>
      </c>
      <c r="E80">
        <v>30</v>
      </c>
      <c r="F80">
        <v>15.9</v>
      </c>
      <c r="G80">
        <v>175</v>
      </c>
    </row>
    <row r="81" spans="2:7" x14ac:dyDescent="0.2">
      <c r="B81">
        <v>1968</v>
      </c>
      <c r="C81">
        <v>7</v>
      </c>
      <c r="D81">
        <v>24.7</v>
      </c>
      <c r="E81">
        <v>32.299999999999997</v>
      </c>
      <c r="F81">
        <v>18.600000000000001</v>
      </c>
      <c r="G81">
        <v>136</v>
      </c>
    </row>
    <row r="82" spans="2:7" x14ac:dyDescent="0.2">
      <c r="B82">
        <v>1968</v>
      </c>
      <c r="C82">
        <v>8</v>
      </c>
      <c r="D82">
        <v>26.6</v>
      </c>
      <c r="E82">
        <v>33.5</v>
      </c>
      <c r="F82">
        <v>19.899999999999999</v>
      </c>
      <c r="G82">
        <v>256</v>
      </c>
    </row>
    <row r="83" spans="2:7" x14ac:dyDescent="0.2">
      <c r="B83">
        <v>1968</v>
      </c>
      <c r="C83">
        <v>9</v>
      </c>
      <c r="D83">
        <v>21.9</v>
      </c>
      <c r="E83">
        <v>28.9</v>
      </c>
      <c r="F83">
        <v>16</v>
      </c>
      <c r="G83">
        <v>109.5</v>
      </c>
    </row>
    <row r="84" spans="2:7" x14ac:dyDescent="0.2">
      <c r="B84">
        <v>1968</v>
      </c>
      <c r="C84">
        <v>10</v>
      </c>
      <c r="D84">
        <v>16.3</v>
      </c>
      <c r="E84">
        <v>27.2</v>
      </c>
      <c r="F84">
        <v>8.8000000000000007</v>
      </c>
      <c r="G84">
        <v>152.5</v>
      </c>
    </row>
    <row r="85" spans="2:7" x14ac:dyDescent="0.2">
      <c r="B85">
        <v>1968</v>
      </c>
      <c r="C85">
        <v>11</v>
      </c>
      <c r="D85">
        <v>14.1</v>
      </c>
      <c r="E85">
        <v>23.4</v>
      </c>
      <c r="F85">
        <v>4</v>
      </c>
      <c r="G85">
        <v>19.5</v>
      </c>
    </row>
    <row r="86" spans="2:7" x14ac:dyDescent="0.2">
      <c r="B86">
        <v>1968</v>
      </c>
      <c r="C86">
        <v>12</v>
      </c>
      <c r="D86">
        <v>10.199999999999999</v>
      </c>
      <c r="E86">
        <v>20.100000000000001</v>
      </c>
      <c r="F86">
        <v>1.1000000000000001</v>
      </c>
      <c r="G86">
        <v>188</v>
      </c>
    </row>
    <row r="87" spans="2:7" x14ac:dyDescent="0.2">
      <c r="B87">
        <v>1969</v>
      </c>
      <c r="C87">
        <v>1</v>
      </c>
      <c r="D87">
        <v>5.7</v>
      </c>
      <c r="E87">
        <v>22.6</v>
      </c>
      <c r="F87">
        <v>-2.1</v>
      </c>
      <c r="G87">
        <v>54.5</v>
      </c>
    </row>
    <row r="88" spans="2:7" x14ac:dyDescent="0.2">
      <c r="B88">
        <v>1969</v>
      </c>
      <c r="C88">
        <v>2</v>
      </c>
      <c r="D88">
        <v>5.7</v>
      </c>
      <c r="E88">
        <v>19.100000000000001</v>
      </c>
      <c r="F88">
        <v>-1.2</v>
      </c>
      <c r="G88">
        <v>100</v>
      </c>
    </row>
    <row r="89" spans="2:7" x14ac:dyDescent="0.2">
      <c r="B89">
        <v>1969</v>
      </c>
      <c r="C89">
        <v>3</v>
      </c>
      <c r="D89">
        <v>7.9</v>
      </c>
      <c r="E89">
        <v>21.9</v>
      </c>
      <c r="F89">
        <v>-1.5</v>
      </c>
      <c r="G89">
        <v>121</v>
      </c>
    </row>
    <row r="90" spans="2:7" x14ac:dyDescent="0.2">
      <c r="B90">
        <v>1969</v>
      </c>
      <c r="C90">
        <v>4</v>
      </c>
      <c r="D90">
        <v>14.6</v>
      </c>
      <c r="E90">
        <v>27.2</v>
      </c>
      <c r="F90">
        <v>1</v>
      </c>
      <c r="G90">
        <v>73</v>
      </c>
    </row>
    <row r="91" spans="2:7" x14ac:dyDescent="0.2">
      <c r="B91">
        <v>1969</v>
      </c>
      <c r="C91">
        <v>5</v>
      </c>
      <c r="D91">
        <v>19.600000000000001</v>
      </c>
      <c r="E91">
        <v>30.3</v>
      </c>
      <c r="F91">
        <v>13</v>
      </c>
      <c r="G91">
        <v>88.5</v>
      </c>
    </row>
    <row r="92" spans="2:7" x14ac:dyDescent="0.2">
      <c r="B92">
        <v>1969</v>
      </c>
      <c r="C92">
        <v>6</v>
      </c>
      <c r="D92">
        <v>21.8</v>
      </c>
      <c r="E92">
        <v>29.3</v>
      </c>
      <c r="F92">
        <v>13</v>
      </c>
      <c r="G92">
        <v>187.5</v>
      </c>
    </row>
    <row r="93" spans="2:7" x14ac:dyDescent="0.2">
      <c r="B93">
        <v>1969</v>
      </c>
      <c r="C93">
        <v>7</v>
      </c>
      <c r="D93">
        <v>25</v>
      </c>
      <c r="E93">
        <v>36.6</v>
      </c>
      <c r="F93">
        <v>15.6</v>
      </c>
      <c r="G93">
        <v>102</v>
      </c>
    </row>
    <row r="94" spans="2:7" x14ac:dyDescent="0.2">
      <c r="B94">
        <v>1969</v>
      </c>
      <c r="C94">
        <v>8</v>
      </c>
      <c r="D94">
        <v>27.2</v>
      </c>
      <c r="E94">
        <v>35.799999999999997</v>
      </c>
      <c r="F94">
        <v>20.5</v>
      </c>
      <c r="G94">
        <v>131.5</v>
      </c>
    </row>
    <row r="95" spans="2:7" x14ac:dyDescent="0.2">
      <c r="B95">
        <v>1969</v>
      </c>
      <c r="C95">
        <v>9</v>
      </c>
      <c r="D95">
        <v>22.8</v>
      </c>
      <c r="E95">
        <v>33.200000000000003</v>
      </c>
      <c r="F95">
        <v>13.6</v>
      </c>
      <c r="G95">
        <v>238.5</v>
      </c>
    </row>
    <row r="96" spans="2:7" x14ac:dyDescent="0.2">
      <c r="B96">
        <v>1969</v>
      </c>
      <c r="C96">
        <v>10</v>
      </c>
      <c r="D96">
        <v>17.3</v>
      </c>
      <c r="E96">
        <v>26.1</v>
      </c>
      <c r="F96">
        <v>8.8000000000000007</v>
      </c>
      <c r="G96">
        <v>146</v>
      </c>
    </row>
    <row r="97" spans="2:7" x14ac:dyDescent="0.2">
      <c r="B97">
        <v>1969</v>
      </c>
      <c r="C97">
        <v>11</v>
      </c>
      <c r="D97">
        <v>12.8</v>
      </c>
      <c r="E97">
        <v>24.2</v>
      </c>
      <c r="F97">
        <v>2.6</v>
      </c>
      <c r="G97">
        <v>93.5</v>
      </c>
    </row>
    <row r="98" spans="2:7" x14ac:dyDescent="0.2">
      <c r="B98">
        <v>1969</v>
      </c>
      <c r="C98">
        <v>12</v>
      </c>
      <c r="D98">
        <v>7.2</v>
      </c>
      <c r="E98">
        <v>19.7</v>
      </c>
      <c r="F98">
        <v>-1.7</v>
      </c>
      <c r="G98">
        <v>7</v>
      </c>
    </row>
    <row r="99" spans="2:7" x14ac:dyDescent="0.2">
      <c r="B99">
        <v>1970</v>
      </c>
      <c r="C99">
        <v>1</v>
      </c>
      <c r="D99">
        <v>4.5</v>
      </c>
      <c r="E99">
        <v>14.2</v>
      </c>
      <c r="F99">
        <v>-4</v>
      </c>
      <c r="G99">
        <v>58.5</v>
      </c>
    </row>
    <row r="100" spans="2:7" x14ac:dyDescent="0.2">
      <c r="B100">
        <v>1970</v>
      </c>
      <c r="C100">
        <v>2</v>
      </c>
      <c r="D100">
        <v>6</v>
      </c>
      <c r="E100">
        <v>17.7</v>
      </c>
      <c r="F100">
        <v>-2.2000000000000002</v>
      </c>
      <c r="G100">
        <v>34.5</v>
      </c>
    </row>
    <row r="101" spans="2:7" x14ac:dyDescent="0.2">
      <c r="B101">
        <v>1970</v>
      </c>
      <c r="C101">
        <v>3</v>
      </c>
      <c r="D101">
        <v>5.5</v>
      </c>
      <c r="E101">
        <v>16.5</v>
      </c>
      <c r="F101">
        <v>-2.6</v>
      </c>
      <c r="G101">
        <v>46.5</v>
      </c>
    </row>
    <row r="102" spans="2:7" x14ac:dyDescent="0.2">
      <c r="B102">
        <v>1970</v>
      </c>
      <c r="C102">
        <v>4</v>
      </c>
      <c r="D102">
        <v>13</v>
      </c>
      <c r="E102">
        <v>24.1</v>
      </c>
      <c r="F102">
        <v>4.9000000000000004</v>
      </c>
      <c r="G102">
        <v>94</v>
      </c>
    </row>
    <row r="103" spans="2:7" x14ac:dyDescent="0.2">
      <c r="B103">
        <v>1970</v>
      </c>
      <c r="C103">
        <v>5</v>
      </c>
      <c r="D103">
        <v>19.600000000000001</v>
      </c>
      <c r="E103">
        <v>30</v>
      </c>
      <c r="F103">
        <v>11.2</v>
      </c>
      <c r="G103">
        <v>161.5</v>
      </c>
    </row>
    <row r="104" spans="2:7" x14ac:dyDescent="0.2">
      <c r="B104">
        <v>1970</v>
      </c>
      <c r="C104">
        <v>6</v>
      </c>
      <c r="D104">
        <v>20.7</v>
      </c>
      <c r="E104">
        <v>31</v>
      </c>
      <c r="F104">
        <v>13.1</v>
      </c>
      <c r="G104">
        <v>218</v>
      </c>
    </row>
    <row r="105" spans="2:7" x14ac:dyDescent="0.2">
      <c r="B105">
        <v>1970</v>
      </c>
      <c r="C105">
        <v>7</v>
      </c>
      <c r="D105">
        <v>25.4</v>
      </c>
      <c r="E105">
        <v>34.9</v>
      </c>
      <c r="F105">
        <v>17.100000000000001</v>
      </c>
      <c r="G105">
        <v>118.5</v>
      </c>
    </row>
    <row r="106" spans="2:7" x14ac:dyDescent="0.2">
      <c r="B106">
        <v>1970</v>
      </c>
      <c r="C106">
        <v>8</v>
      </c>
      <c r="D106">
        <v>27.4</v>
      </c>
      <c r="E106">
        <v>35.5</v>
      </c>
      <c r="F106">
        <v>19.899999999999999</v>
      </c>
      <c r="G106">
        <v>20.5</v>
      </c>
    </row>
    <row r="107" spans="2:7" x14ac:dyDescent="0.2">
      <c r="B107">
        <v>1970</v>
      </c>
      <c r="C107">
        <v>9</v>
      </c>
      <c r="D107">
        <v>24</v>
      </c>
      <c r="E107">
        <v>35.4</v>
      </c>
      <c r="F107">
        <v>13.5</v>
      </c>
      <c r="G107">
        <v>86</v>
      </c>
    </row>
    <row r="108" spans="2:7" x14ac:dyDescent="0.2">
      <c r="B108">
        <v>1970</v>
      </c>
      <c r="C108">
        <v>10</v>
      </c>
      <c r="D108">
        <v>17.2</v>
      </c>
      <c r="E108">
        <v>26.1</v>
      </c>
      <c r="F108">
        <v>7.4</v>
      </c>
      <c r="G108">
        <v>98.5</v>
      </c>
    </row>
    <row r="109" spans="2:7" x14ac:dyDescent="0.2">
      <c r="B109">
        <v>1970</v>
      </c>
      <c r="C109">
        <v>11</v>
      </c>
      <c r="D109">
        <v>12.3</v>
      </c>
      <c r="E109">
        <v>23.4</v>
      </c>
      <c r="F109">
        <v>2</v>
      </c>
      <c r="G109">
        <v>144.5</v>
      </c>
    </row>
    <row r="110" spans="2:7" x14ac:dyDescent="0.2">
      <c r="B110">
        <v>1970</v>
      </c>
      <c r="C110">
        <v>12</v>
      </c>
      <c r="D110">
        <v>6.8</v>
      </c>
      <c r="E110">
        <v>20.5</v>
      </c>
      <c r="F110">
        <v>-0.6</v>
      </c>
      <c r="G110">
        <v>41</v>
      </c>
    </row>
    <row r="111" spans="2:7" x14ac:dyDescent="0.2">
      <c r="B111">
        <v>1971</v>
      </c>
      <c r="C111">
        <v>1</v>
      </c>
      <c r="D111">
        <v>5.0999999999999996</v>
      </c>
      <c r="E111">
        <v>13.5</v>
      </c>
      <c r="F111">
        <v>-2.2000000000000002</v>
      </c>
      <c r="G111">
        <v>32</v>
      </c>
    </row>
    <row r="112" spans="2:7" x14ac:dyDescent="0.2">
      <c r="B112">
        <v>1971</v>
      </c>
      <c r="C112">
        <v>2</v>
      </c>
      <c r="D112">
        <v>5.9</v>
      </c>
      <c r="E112">
        <v>16.2</v>
      </c>
      <c r="F112">
        <v>-1.5</v>
      </c>
      <c r="G112">
        <v>38</v>
      </c>
    </row>
    <row r="113" spans="2:7" x14ac:dyDescent="0.2">
      <c r="B113">
        <v>1971</v>
      </c>
      <c r="C113">
        <v>3</v>
      </c>
      <c r="D113">
        <v>8.3000000000000007</v>
      </c>
      <c r="E113">
        <v>20.399999999999999</v>
      </c>
      <c r="F113">
        <v>-0.9</v>
      </c>
      <c r="G113">
        <v>67.5</v>
      </c>
    </row>
    <row r="114" spans="2:7" x14ac:dyDescent="0.2">
      <c r="B114">
        <v>1971</v>
      </c>
      <c r="C114">
        <v>4</v>
      </c>
      <c r="D114">
        <v>13.5</v>
      </c>
      <c r="E114">
        <v>25.9</v>
      </c>
      <c r="F114">
        <v>5.3</v>
      </c>
      <c r="G114">
        <v>134</v>
      </c>
    </row>
    <row r="115" spans="2:7" x14ac:dyDescent="0.2">
      <c r="B115">
        <v>1971</v>
      </c>
      <c r="C115">
        <v>5</v>
      </c>
      <c r="D115">
        <v>17.399999999999999</v>
      </c>
      <c r="E115">
        <v>28.8</v>
      </c>
      <c r="F115">
        <v>9.4</v>
      </c>
      <c r="G115">
        <v>110</v>
      </c>
    </row>
    <row r="116" spans="2:7" x14ac:dyDescent="0.2">
      <c r="B116">
        <v>1971</v>
      </c>
      <c r="C116">
        <v>6</v>
      </c>
      <c r="D116">
        <v>21.3</v>
      </c>
      <c r="E116">
        <v>30.7</v>
      </c>
      <c r="F116">
        <v>15.4</v>
      </c>
      <c r="G116">
        <v>91.5</v>
      </c>
    </row>
    <row r="117" spans="2:7" x14ac:dyDescent="0.2">
      <c r="B117">
        <v>1971</v>
      </c>
      <c r="C117">
        <v>7</v>
      </c>
      <c r="D117">
        <v>25.8</v>
      </c>
      <c r="E117">
        <v>33.700000000000003</v>
      </c>
      <c r="F117">
        <v>18.600000000000001</v>
      </c>
      <c r="G117">
        <v>153.5</v>
      </c>
    </row>
    <row r="118" spans="2:7" x14ac:dyDescent="0.2">
      <c r="B118">
        <v>1971</v>
      </c>
      <c r="C118">
        <v>8</v>
      </c>
      <c r="D118">
        <v>26.7</v>
      </c>
      <c r="E118">
        <v>34.4</v>
      </c>
      <c r="F118">
        <v>19.399999999999999</v>
      </c>
      <c r="G118">
        <v>195</v>
      </c>
    </row>
    <row r="119" spans="2:7" x14ac:dyDescent="0.2">
      <c r="B119">
        <v>1971</v>
      </c>
      <c r="C119">
        <v>9</v>
      </c>
      <c r="D119">
        <v>21.1</v>
      </c>
      <c r="E119">
        <v>30.8</v>
      </c>
      <c r="F119">
        <v>14.6</v>
      </c>
      <c r="G119">
        <v>273</v>
      </c>
    </row>
    <row r="120" spans="2:7" x14ac:dyDescent="0.2">
      <c r="B120">
        <v>1971</v>
      </c>
      <c r="C120">
        <v>10</v>
      </c>
      <c r="D120">
        <v>15.5</v>
      </c>
      <c r="E120">
        <v>24.1</v>
      </c>
      <c r="F120">
        <v>7.4</v>
      </c>
      <c r="G120">
        <v>258.5</v>
      </c>
    </row>
    <row r="121" spans="2:7" x14ac:dyDescent="0.2">
      <c r="B121">
        <v>1971</v>
      </c>
      <c r="C121">
        <v>11</v>
      </c>
      <c r="D121">
        <v>11.9</v>
      </c>
      <c r="E121">
        <v>21.3</v>
      </c>
      <c r="F121">
        <v>1.5</v>
      </c>
      <c r="G121">
        <v>30.5</v>
      </c>
    </row>
    <row r="122" spans="2:7" x14ac:dyDescent="0.2">
      <c r="B122">
        <v>1971</v>
      </c>
      <c r="C122">
        <v>12</v>
      </c>
      <c r="D122">
        <v>7.9</v>
      </c>
      <c r="E122">
        <v>19.3</v>
      </c>
      <c r="F122">
        <v>1</v>
      </c>
      <c r="G122">
        <v>55</v>
      </c>
    </row>
    <row r="123" spans="2:7" x14ac:dyDescent="0.2">
      <c r="B123">
        <v>1972</v>
      </c>
      <c r="C123">
        <v>1</v>
      </c>
      <c r="D123">
        <v>6.6</v>
      </c>
      <c r="E123">
        <v>16.8</v>
      </c>
      <c r="F123">
        <v>-2.1</v>
      </c>
      <c r="G123">
        <v>113.5</v>
      </c>
    </row>
    <row r="124" spans="2:7" x14ac:dyDescent="0.2">
      <c r="B124">
        <v>1972</v>
      </c>
      <c r="C124">
        <v>2</v>
      </c>
      <c r="D124">
        <v>5.0999999999999996</v>
      </c>
      <c r="E124">
        <v>14.6</v>
      </c>
      <c r="F124">
        <v>-1.5</v>
      </c>
      <c r="G124">
        <v>142</v>
      </c>
    </row>
    <row r="125" spans="2:7" x14ac:dyDescent="0.2">
      <c r="B125">
        <v>1972</v>
      </c>
      <c r="C125">
        <v>3</v>
      </c>
      <c r="D125">
        <v>9.6999999999999993</v>
      </c>
      <c r="E125">
        <v>24.1</v>
      </c>
      <c r="F125">
        <v>0.8</v>
      </c>
      <c r="G125">
        <v>44</v>
      </c>
    </row>
    <row r="126" spans="2:7" x14ac:dyDescent="0.2">
      <c r="B126">
        <v>1972</v>
      </c>
      <c r="C126">
        <v>4</v>
      </c>
      <c r="D126">
        <v>13.4</v>
      </c>
      <c r="E126">
        <v>25.5</v>
      </c>
      <c r="F126">
        <v>2.2999999999999998</v>
      </c>
      <c r="G126">
        <v>186.5</v>
      </c>
    </row>
    <row r="127" spans="2:7" x14ac:dyDescent="0.2">
      <c r="B127">
        <v>1972</v>
      </c>
      <c r="C127">
        <v>5</v>
      </c>
      <c r="D127">
        <v>18.600000000000001</v>
      </c>
      <c r="E127">
        <v>26.7</v>
      </c>
      <c r="F127">
        <v>9.4</v>
      </c>
      <c r="G127">
        <v>116</v>
      </c>
    </row>
    <row r="128" spans="2:7" x14ac:dyDescent="0.2">
      <c r="B128">
        <v>1972</v>
      </c>
      <c r="C128">
        <v>6</v>
      </c>
      <c r="D128">
        <v>21.4</v>
      </c>
      <c r="E128">
        <v>31.2</v>
      </c>
      <c r="F128">
        <v>14.7</v>
      </c>
      <c r="G128">
        <v>107</v>
      </c>
    </row>
    <row r="129" spans="2:7" x14ac:dyDescent="0.2">
      <c r="B129">
        <v>1972</v>
      </c>
      <c r="C129">
        <v>7</v>
      </c>
      <c r="D129">
        <v>25.2</v>
      </c>
      <c r="E129">
        <v>32.1</v>
      </c>
      <c r="F129">
        <v>17.899999999999999</v>
      </c>
      <c r="G129">
        <v>301</v>
      </c>
    </row>
    <row r="130" spans="2:7" x14ac:dyDescent="0.2">
      <c r="B130">
        <v>1972</v>
      </c>
      <c r="C130">
        <v>8</v>
      </c>
      <c r="D130">
        <v>26.6</v>
      </c>
      <c r="E130">
        <v>35.200000000000003</v>
      </c>
      <c r="F130">
        <v>19.100000000000001</v>
      </c>
      <c r="G130">
        <v>94.5</v>
      </c>
    </row>
    <row r="131" spans="2:7" x14ac:dyDescent="0.2">
      <c r="B131">
        <v>1972</v>
      </c>
      <c r="C131">
        <v>9</v>
      </c>
      <c r="D131">
        <v>23.1</v>
      </c>
      <c r="E131">
        <v>31.6</v>
      </c>
      <c r="F131">
        <v>16.2</v>
      </c>
      <c r="G131">
        <v>281</v>
      </c>
    </row>
    <row r="132" spans="2:7" x14ac:dyDescent="0.2">
      <c r="B132">
        <v>1972</v>
      </c>
      <c r="C132">
        <v>10</v>
      </c>
      <c r="D132">
        <v>18.5</v>
      </c>
      <c r="E132">
        <v>26.2</v>
      </c>
      <c r="F132">
        <v>10.9</v>
      </c>
      <c r="G132">
        <v>43.5</v>
      </c>
    </row>
    <row r="133" spans="2:7" x14ac:dyDescent="0.2">
      <c r="B133">
        <v>1972</v>
      </c>
      <c r="C133">
        <v>11</v>
      </c>
      <c r="D133">
        <v>12.3</v>
      </c>
      <c r="E133">
        <v>22.9</v>
      </c>
      <c r="F133">
        <v>3.1</v>
      </c>
      <c r="G133">
        <v>43</v>
      </c>
    </row>
    <row r="134" spans="2:7" x14ac:dyDescent="0.2">
      <c r="B134">
        <v>1972</v>
      </c>
      <c r="C134">
        <v>12</v>
      </c>
      <c r="D134">
        <v>8.1</v>
      </c>
      <c r="E134">
        <v>16.899999999999999</v>
      </c>
      <c r="F134">
        <v>0</v>
      </c>
      <c r="G134">
        <v>155.5</v>
      </c>
    </row>
    <row r="135" spans="2:7" x14ac:dyDescent="0.2">
      <c r="B135">
        <v>1973</v>
      </c>
      <c r="C135">
        <v>1</v>
      </c>
      <c r="D135">
        <v>6.3</v>
      </c>
      <c r="E135">
        <v>17.3</v>
      </c>
      <c r="F135">
        <v>-0.4</v>
      </c>
      <c r="G135">
        <v>136</v>
      </c>
    </row>
    <row r="136" spans="2:7" x14ac:dyDescent="0.2">
      <c r="B136">
        <v>1973</v>
      </c>
      <c r="C136">
        <v>2</v>
      </c>
      <c r="D136">
        <v>6.9</v>
      </c>
      <c r="E136">
        <v>18</v>
      </c>
      <c r="F136">
        <v>-1.9</v>
      </c>
      <c r="G136">
        <v>45</v>
      </c>
    </row>
    <row r="137" spans="2:7" x14ac:dyDescent="0.2">
      <c r="B137">
        <v>1973</v>
      </c>
      <c r="C137">
        <v>3</v>
      </c>
      <c r="D137">
        <v>7.8</v>
      </c>
      <c r="E137">
        <v>22.4</v>
      </c>
      <c r="F137">
        <v>-0.8</v>
      </c>
      <c r="G137">
        <v>10</v>
      </c>
    </row>
    <row r="138" spans="2:7" x14ac:dyDescent="0.2">
      <c r="B138">
        <v>1973</v>
      </c>
      <c r="C138">
        <v>4</v>
      </c>
      <c r="D138">
        <v>15.3</v>
      </c>
      <c r="E138">
        <v>26.6</v>
      </c>
      <c r="F138">
        <v>5.5</v>
      </c>
      <c r="G138">
        <v>143</v>
      </c>
    </row>
    <row r="139" spans="2:7" x14ac:dyDescent="0.2">
      <c r="B139">
        <v>1973</v>
      </c>
      <c r="C139">
        <v>5</v>
      </c>
      <c r="D139">
        <v>17.899999999999999</v>
      </c>
      <c r="E139">
        <v>27.5</v>
      </c>
      <c r="F139">
        <v>9.5</v>
      </c>
      <c r="G139">
        <v>97.5</v>
      </c>
    </row>
    <row r="140" spans="2:7" x14ac:dyDescent="0.2">
      <c r="B140">
        <v>1973</v>
      </c>
      <c r="C140">
        <v>6</v>
      </c>
      <c r="D140">
        <v>19.8</v>
      </c>
      <c r="E140">
        <v>27.8</v>
      </c>
      <c r="F140">
        <v>13.4</v>
      </c>
      <c r="G140">
        <v>121.5</v>
      </c>
    </row>
    <row r="141" spans="2:7" x14ac:dyDescent="0.2">
      <c r="B141">
        <v>1973</v>
      </c>
      <c r="C141">
        <v>7</v>
      </c>
      <c r="D141">
        <v>26.1</v>
      </c>
      <c r="E141">
        <v>34.700000000000003</v>
      </c>
      <c r="F141">
        <v>19.399999999999999</v>
      </c>
      <c r="G141">
        <v>49.5</v>
      </c>
    </row>
    <row r="142" spans="2:7" x14ac:dyDescent="0.2">
      <c r="B142">
        <v>1973</v>
      </c>
      <c r="C142">
        <v>8</v>
      </c>
      <c r="D142">
        <v>28.5</v>
      </c>
      <c r="E142">
        <v>34.299999999999997</v>
      </c>
      <c r="F142">
        <v>24</v>
      </c>
      <c r="G142">
        <v>50</v>
      </c>
    </row>
    <row r="143" spans="2:7" x14ac:dyDescent="0.2">
      <c r="B143">
        <v>1973</v>
      </c>
      <c r="C143">
        <v>9</v>
      </c>
      <c r="D143">
        <v>23.2</v>
      </c>
      <c r="E143">
        <v>34.5</v>
      </c>
      <c r="F143">
        <v>17.100000000000001</v>
      </c>
      <c r="G143">
        <v>155</v>
      </c>
    </row>
    <row r="144" spans="2:7" x14ac:dyDescent="0.2">
      <c r="B144">
        <v>1973</v>
      </c>
      <c r="C144">
        <v>10</v>
      </c>
      <c r="D144">
        <v>17.399999999999999</v>
      </c>
      <c r="E144">
        <v>28.2</v>
      </c>
      <c r="F144">
        <v>9.5</v>
      </c>
      <c r="G144">
        <v>237.5</v>
      </c>
    </row>
    <row r="145" spans="2:7" x14ac:dyDescent="0.2">
      <c r="B145">
        <v>1973</v>
      </c>
      <c r="C145">
        <v>11</v>
      </c>
      <c r="D145">
        <v>12.1</v>
      </c>
      <c r="E145">
        <v>22</v>
      </c>
      <c r="F145">
        <v>3</v>
      </c>
      <c r="G145">
        <v>104.5</v>
      </c>
    </row>
    <row r="146" spans="2:7" x14ac:dyDescent="0.2">
      <c r="B146">
        <v>1973</v>
      </c>
      <c r="C146">
        <v>12</v>
      </c>
      <c r="D146">
        <v>6.6</v>
      </c>
      <c r="E146">
        <v>16.399999999999999</v>
      </c>
      <c r="F146">
        <v>-1.7</v>
      </c>
      <c r="G146">
        <v>0</v>
      </c>
    </row>
    <row r="147" spans="2:7" x14ac:dyDescent="0.2">
      <c r="B147">
        <v>1974</v>
      </c>
      <c r="C147">
        <v>1</v>
      </c>
      <c r="D147">
        <v>4.4000000000000004</v>
      </c>
      <c r="E147">
        <v>13.6</v>
      </c>
      <c r="F147">
        <v>-2</v>
      </c>
      <c r="G147">
        <v>29</v>
      </c>
    </row>
    <row r="148" spans="2:7" x14ac:dyDescent="0.2">
      <c r="B148">
        <v>1974</v>
      </c>
      <c r="C148">
        <v>2</v>
      </c>
      <c r="D148">
        <v>5.0999999999999996</v>
      </c>
      <c r="E148">
        <v>18.100000000000001</v>
      </c>
      <c r="F148">
        <v>-2.7</v>
      </c>
      <c r="G148">
        <v>58.5</v>
      </c>
    </row>
    <row r="149" spans="2:7" x14ac:dyDescent="0.2">
      <c r="B149">
        <v>1974</v>
      </c>
      <c r="C149">
        <v>3</v>
      </c>
      <c r="D149">
        <v>7.3</v>
      </c>
      <c r="E149">
        <v>20.100000000000001</v>
      </c>
      <c r="F149">
        <v>-0.6</v>
      </c>
      <c r="G149">
        <v>114</v>
      </c>
    </row>
    <row r="150" spans="2:7" x14ac:dyDescent="0.2">
      <c r="B150">
        <v>1974</v>
      </c>
      <c r="C150">
        <v>4</v>
      </c>
      <c r="D150">
        <v>14.8</v>
      </c>
      <c r="E150">
        <v>23.8</v>
      </c>
      <c r="F150">
        <v>3.6</v>
      </c>
      <c r="G150">
        <v>151</v>
      </c>
    </row>
    <row r="151" spans="2:7" x14ac:dyDescent="0.2">
      <c r="B151">
        <v>1974</v>
      </c>
      <c r="C151">
        <v>5</v>
      </c>
      <c r="D151">
        <v>19.3</v>
      </c>
      <c r="E151">
        <v>29.5</v>
      </c>
      <c r="F151">
        <v>10.4</v>
      </c>
      <c r="G151">
        <v>93.5</v>
      </c>
    </row>
    <row r="152" spans="2:7" x14ac:dyDescent="0.2">
      <c r="B152">
        <v>1974</v>
      </c>
      <c r="C152">
        <v>6</v>
      </c>
      <c r="D152">
        <v>21.9</v>
      </c>
      <c r="E152">
        <v>28.9</v>
      </c>
      <c r="F152">
        <v>16.100000000000001</v>
      </c>
      <c r="G152">
        <v>204.5</v>
      </c>
    </row>
    <row r="153" spans="2:7" x14ac:dyDescent="0.2">
      <c r="B153">
        <v>1974</v>
      </c>
      <c r="C153">
        <v>7</v>
      </c>
      <c r="D153">
        <v>23.4</v>
      </c>
      <c r="E153">
        <v>34.200000000000003</v>
      </c>
      <c r="F153">
        <v>16.2</v>
      </c>
      <c r="G153">
        <v>270.5</v>
      </c>
    </row>
    <row r="154" spans="2:7" x14ac:dyDescent="0.2">
      <c r="B154">
        <v>1974</v>
      </c>
      <c r="C154">
        <v>8</v>
      </c>
      <c r="D154">
        <v>27.1</v>
      </c>
      <c r="E154">
        <v>34.200000000000003</v>
      </c>
      <c r="F154">
        <v>22.2</v>
      </c>
      <c r="G154">
        <v>179</v>
      </c>
    </row>
    <row r="155" spans="2:7" x14ac:dyDescent="0.2">
      <c r="B155">
        <v>1974</v>
      </c>
      <c r="C155">
        <v>9</v>
      </c>
      <c r="D155">
        <v>22.8</v>
      </c>
      <c r="E155">
        <v>32.299999999999997</v>
      </c>
      <c r="F155">
        <v>14.7</v>
      </c>
      <c r="G155">
        <v>246.5</v>
      </c>
    </row>
    <row r="156" spans="2:7" x14ac:dyDescent="0.2">
      <c r="B156">
        <v>1974</v>
      </c>
      <c r="C156">
        <v>10</v>
      </c>
      <c r="D156">
        <v>17.8</v>
      </c>
      <c r="E156">
        <v>26.1</v>
      </c>
      <c r="F156">
        <v>9.1</v>
      </c>
      <c r="G156">
        <v>165</v>
      </c>
    </row>
    <row r="157" spans="2:7" x14ac:dyDescent="0.2">
      <c r="B157">
        <v>1974</v>
      </c>
      <c r="C157">
        <v>11</v>
      </c>
      <c r="D157">
        <v>11.7</v>
      </c>
      <c r="E157">
        <v>22.3</v>
      </c>
      <c r="F157">
        <v>3.2</v>
      </c>
      <c r="G157">
        <v>30.5</v>
      </c>
    </row>
    <row r="158" spans="2:7" x14ac:dyDescent="0.2">
      <c r="B158">
        <v>1974</v>
      </c>
      <c r="C158">
        <v>12</v>
      </c>
      <c r="D158">
        <v>6.7</v>
      </c>
      <c r="E158">
        <v>15.7</v>
      </c>
      <c r="F158">
        <v>-0.1</v>
      </c>
      <c r="G158">
        <v>38.5</v>
      </c>
    </row>
    <row r="159" spans="2:7" x14ac:dyDescent="0.2">
      <c r="B159">
        <v>1975</v>
      </c>
      <c r="C159">
        <v>1</v>
      </c>
      <c r="D159">
        <v>4.7</v>
      </c>
      <c r="E159">
        <v>17.600000000000001</v>
      </c>
      <c r="F159">
        <v>-1.8</v>
      </c>
      <c r="G159">
        <v>67.5</v>
      </c>
    </row>
    <row r="160" spans="2:7" x14ac:dyDescent="0.2">
      <c r="B160">
        <v>1975</v>
      </c>
      <c r="C160">
        <v>2</v>
      </c>
      <c r="D160">
        <v>5.0999999999999996</v>
      </c>
      <c r="E160">
        <v>15</v>
      </c>
      <c r="F160">
        <v>-2.6</v>
      </c>
      <c r="G160">
        <v>75</v>
      </c>
    </row>
    <row r="161" spans="2:7" x14ac:dyDescent="0.2">
      <c r="B161">
        <v>1975</v>
      </c>
      <c r="C161">
        <v>3</v>
      </c>
      <c r="D161">
        <v>7.9</v>
      </c>
      <c r="E161">
        <v>18.600000000000001</v>
      </c>
      <c r="F161">
        <v>-0.8</v>
      </c>
      <c r="G161">
        <v>108</v>
      </c>
    </row>
    <row r="162" spans="2:7" x14ac:dyDescent="0.2">
      <c r="B162">
        <v>1975</v>
      </c>
      <c r="C162">
        <v>4</v>
      </c>
      <c r="D162">
        <v>14.3</v>
      </c>
      <c r="E162">
        <v>24</v>
      </c>
      <c r="F162">
        <v>4.8</v>
      </c>
      <c r="G162">
        <v>161.5</v>
      </c>
    </row>
    <row r="163" spans="2:7" x14ac:dyDescent="0.2">
      <c r="B163">
        <v>1975</v>
      </c>
      <c r="C163">
        <v>5</v>
      </c>
      <c r="D163">
        <v>18.600000000000001</v>
      </c>
      <c r="E163">
        <v>28.3</v>
      </c>
      <c r="F163">
        <v>11.5</v>
      </c>
      <c r="G163">
        <v>151</v>
      </c>
    </row>
    <row r="164" spans="2:7" x14ac:dyDescent="0.2">
      <c r="B164">
        <v>1975</v>
      </c>
      <c r="C164">
        <v>6</v>
      </c>
      <c r="D164">
        <v>21.6</v>
      </c>
      <c r="E164">
        <v>29.5</v>
      </c>
      <c r="F164">
        <v>15.4</v>
      </c>
      <c r="G164">
        <v>106.5</v>
      </c>
    </row>
    <row r="165" spans="2:7" x14ac:dyDescent="0.2">
      <c r="B165">
        <v>1975</v>
      </c>
      <c r="C165">
        <v>7</v>
      </c>
      <c r="D165">
        <v>25.6</v>
      </c>
      <c r="E165">
        <v>35.6</v>
      </c>
      <c r="F165">
        <v>17.899999999999999</v>
      </c>
      <c r="G165">
        <v>175.5</v>
      </c>
    </row>
    <row r="166" spans="2:7" x14ac:dyDescent="0.2">
      <c r="B166">
        <v>1975</v>
      </c>
      <c r="C166">
        <v>8</v>
      </c>
      <c r="D166">
        <v>27.3</v>
      </c>
      <c r="E166">
        <v>35.5</v>
      </c>
      <c r="F166">
        <v>21</v>
      </c>
      <c r="G166">
        <v>26.5</v>
      </c>
    </row>
    <row r="167" spans="2:7" x14ac:dyDescent="0.2">
      <c r="B167">
        <v>1975</v>
      </c>
      <c r="C167">
        <v>9</v>
      </c>
      <c r="D167">
        <v>25.2</v>
      </c>
      <c r="E167">
        <v>34.1</v>
      </c>
      <c r="F167">
        <v>15.8</v>
      </c>
      <c r="G167">
        <v>99.5</v>
      </c>
    </row>
    <row r="168" spans="2:7" x14ac:dyDescent="0.2">
      <c r="B168">
        <v>1975</v>
      </c>
      <c r="C168">
        <v>10</v>
      </c>
      <c r="D168">
        <v>17.3</v>
      </c>
      <c r="E168">
        <v>27.9</v>
      </c>
      <c r="F168">
        <v>7.5</v>
      </c>
      <c r="G168">
        <v>273</v>
      </c>
    </row>
    <row r="169" spans="2:7" x14ac:dyDescent="0.2">
      <c r="B169">
        <v>1975</v>
      </c>
      <c r="C169">
        <v>11</v>
      </c>
      <c r="D169">
        <v>12.7</v>
      </c>
      <c r="E169">
        <v>25.1</v>
      </c>
      <c r="F169">
        <v>3.1</v>
      </c>
      <c r="G169">
        <v>245</v>
      </c>
    </row>
    <row r="170" spans="2:7" x14ac:dyDescent="0.2">
      <c r="B170">
        <v>1975</v>
      </c>
      <c r="C170">
        <v>12</v>
      </c>
      <c r="D170">
        <v>6.7</v>
      </c>
      <c r="E170">
        <v>15.3</v>
      </c>
      <c r="F170">
        <v>0.5</v>
      </c>
      <c r="G170">
        <v>51.5</v>
      </c>
    </row>
    <row r="171" spans="2:7" x14ac:dyDescent="0.2">
      <c r="B171">
        <v>1976</v>
      </c>
      <c r="C171">
        <v>1</v>
      </c>
      <c r="D171">
        <v>5.4</v>
      </c>
      <c r="E171">
        <v>18.600000000000001</v>
      </c>
      <c r="F171">
        <v>-3.9</v>
      </c>
      <c r="G171">
        <v>0.5</v>
      </c>
    </row>
    <row r="172" spans="2:7" x14ac:dyDescent="0.2">
      <c r="B172">
        <v>1976</v>
      </c>
      <c r="C172">
        <v>2</v>
      </c>
      <c r="D172">
        <v>6.8</v>
      </c>
      <c r="E172">
        <v>18.3</v>
      </c>
      <c r="F172">
        <v>-2.8</v>
      </c>
      <c r="G172">
        <v>128</v>
      </c>
    </row>
    <row r="173" spans="2:7" x14ac:dyDescent="0.2">
      <c r="B173">
        <v>1976</v>
      </c>
      <c r="C173">
        <v>3</v>
      </c>
      <c r="D173">
        <v>9</v>
      </c>
      <c r="E173">
        <v>19.100000000000001</v>
      </c>
      <c r="F173">
        <v>1.2</v>
      </c>
      <c r="G173">
        <v>87</v>
      </c>
    </row>
    <row r="174" spans="2:7" x14ac:dyDescent="0.2">
      <c r="B174">
        <v>1976</v>
      </c>
      <c r="C174">
        <v>4</v>
      </c>
      <c r="D174">
        <v>13</v>
      </c>
      <c r="E174">
        <v>23.7</v>
      </c>
      <c r="F174">
        <v>3.8</v>
      </c>
      <c r="G174">
        <v>129</v>
      </c>
    </row>
    <row r="175" spans="2:7" x14ac:dyDescent="0.2">
      <c r="B175">
        <v>1976</v>
      </c>
      <c r="C175">
        <v>5</v>
      </c>
      <c r="D175">
        <v>17.7</v>
      </c>
      <c r="E175">
        <v>28.2</v>
      </c>
      <c r="F175">
        <v>8.4</v>
      </c>
      <c r="G175">
        <v>218</v>
      </c>
    </row>
    <row r="176" spans="2:7" x14ac:dyDescent="0.2">
      <c r="B176">
        <v>1976</v>
      </c>
      <c r="C176">
        <v>6</v>
      </c>
      <c r="D176">
        <v>21.5</v>
      </c>
      <c r="E176">
        <v>29.3</v>
      </c>
      <c r="F176">
        <v>14.1</v>
      </c>
      <c r="G176">
        <v>186</v>
      </c>
    </row>
    <row r="177" spans="2:7" x14ac:dyDescent="0.2">
      <c r="B177">
        <v>1976</v>
      </c>
      <c r="C177">
        <v>7</v>
      </c>
      <c r="D177">
        <v>23.9</v>
      </c>
      <c r="E177">
        <v>33.4</v>
      </c>
      <c r="F177">
        <v>14</v>
      </c>
      <c r="G177">
        <v>102</v>
      </c>
    </row>
    <row r="178" spans="2:7" x14ac:dyDescent="0.2">
      <c r="B178">
        <v>1976</v>
      </c>
      <c r="C178">
        <v>8</v>
      </c>
      <c r="D178">
        <v>25.1</v>
      </c>
      <c r="E178">
        <v>35.4</v>
      </c>
      <c r="F178">
        <v>17.899999999999999</v>
      </c>
      <c r="G178">
        <v>159</v>
      </c>
    </row>
    <row r="179" spans="2:7" x14ac:dyDescent="0.2">
      <c r="B179">
        <v>1976</v>
      </c>
      <c r="C179">
        <v>9</v>
      </c>
      <c r="D179">
        <v>22</v>
      </c>
      <c r="E179">
        <v>31.6</v>
      </c>
      <c r="F179">
        <v>13.5</v>
      </c>
      <c r="G179">
        <v>284</v>
      </c>
    </row>
    <row r="180" spans="2:7" x14ac:dyDescent="0.2">
      <c r="B180">
        <v>1976</v>
      </c>
      <c r="C180">
        <v>10</v>
      </c>
      <c r="D180">
        <v>17.5</v>
      </c>
      <c r="E180">
        <v>26.9</v>
      </c>
      <c r="F180">
        <v>7.8</v>
      </c>
      <c r="G180">
        <v>155</v>
      </c>
    </row>
    <row r="181" spans="2:7" x14ac:dyDescent="0.2">
      <c r="B181">
        <v>1976</v>
      </c>
      <c r="C181">
        <v>11</v>
      </c>
      <c r="D181">
        <v>11.2</v>
      </c>
      <c r="E181">
        <v>24.1</v>
      </c>
      <c r="F181">
        <v>1.6</v>
      </c>
      <c r="G181">
        <v>78</v>
      </c>
    </row>
    <row r="182" spans="2:7" x14ac:dyDescent="0.2">
      <c r="B182">
        <v>1976</v>
      </c>
      <c r="C182">
        <v>12</v>
      </c>
      <c r="D182">
        <v>7.3</v>
      </c>
      <c r="E182">
        <v>15.2</v>
      </c>
      <c r="F182">
        <v>-2.2999999999999998</v>
      </c>
      <c r="G182">
        <v>31</v>
      </c>
    </row>
    <row r="183" spans="2:7" x14ac:dyDescent="0.2">
      <c r="B183">
        <v>1977</v>
      </c>
      <c r="C183">
        <v>1</v>
      </c>
      <c r="D183">
        <v>3.4</v>
      </c>
      <c r="E183">
        <v>17.899999999999999</v>
      </c>
      <c r="F183">
        <v>-2.7</v>
      </c>
      <c r="G183">
        <v>19.5</v>
      </c>
    </row>
    <row r="184" spans="2:7" x14ac:dyDescent="0.2">
      <c r="B184">
        <v>1977</v>
      </c>
      <c r="C184">
        <v>2</v>
      </c>
      <c r="D184">
        <v>4.9000000000000004</v>
      </c>
      <c r="E184">
        <v>20.3</v>
      </c>
      <c r="F184">
        <v>-3.8</v>
      </c>
      <c r="G184">
        <v>27</v>
      </c>
    </row>
    <row r="185" spans="2:7" x14ac:dyDescent="0.2">
      <c r="B185">
        <v>1977</v>
      </c>
      <c r="C185">
        <v>3</v>
      </c>
      <c r="D185">
        <v>9.3000000000000007</v>
      </c>
      <c r="E185">
        <v>20.100000000000001</v>
      </c>
      <c r="F185">
        <v>-3.3</v>
      </c>
      <c r="G185">
        <v>167</v>
      </c>
    </row>
    <row r="186" spans="2:7" x14ac:dyDescent="0.2">
      <c r="B186">
        <v>1977</v>
      </c>
      <c r="C186">
        <v>4</v>
      </c>
      <c r="D186">
        <v>15.1</v>
      </c>
      <c r="E186">
        <v>25.8</v>
      </c>
      <c r="F186">
        <v>5.3</v>
      </c>
      <c r="G186">
        <v>110.5</v>
      </c>
    </row>
    <row r="187" spans="2:7" x14ac:dyDescent="0.2">
      <c r="B187">
        <v>1977</v>
      </c>
      <c r="C187">
        <v>5</v>
      </c>
      <c r="D187">
        <v>18.7</v>
      </c>
      <c r="E187">
        <v>30.5</v>
      </c>
      <c r="F187">
        <v>10.4</v>
      </c>
      <c r="G187">
        <v>96.5</v>
      </c>
    </row>
    <row r="188" spans="2:7" x14ac:dyDescent="0.2">
      <c r="B188">
        <v>1977</v>
      </c>
      <c r="C188">
        <v>6</v>
      </c>
      <c r="D188">
        <v>20.9</v>
      </c>
      <c r="E188">
        <v>29.5</v>
      </c>
      <c r="F188">
        <v>14.1</v>
      </c>
      <c r="G188">
        <v>202.5</v>
      </c>
    </row>
    <row r="189" spans="2:7" x14ac:dyDescent="0.2">
      <c r="B189">
        <v>1977</v>
      </c>
      <c r="C189">
        <v>7</v>
      </c>
      <c r="D189">
        <v>25.8</v>
      </c>
      <c r="E189">
        <v>33.6</v>
      </c>
      <c r="F189">
        <v>17.399999999999999</v>
      </c>
      <c r="G189">
        <v>91</v>
      </c>
    </row>
    <row r="190" spans="2:7" x14ac:dyDescent="0.2">
      <c r="B190">
        <v>1977</v>
      </c>
      <c r="C190">
        <v>8</v>
      </c>
      <c r="D190">
        <v>25</v>
      </c>
      <c r="E190">
        <v>34.9</v>
      </c>
      <c r="F190">
        <v>17.600000000000001</v>
      </c>
      <c r="G190">
        <v>290.5</v>
      </c>
    </row>
    <row r="191" spans="2:7" x14ac:dyDescent="0.2">
      <c r="B191">
        <v>1977</v>
      </c>
      <c r="C191">
        <v>9</v>
      </c>
      <c r="D191">
        <v>24.3</v>
      </c>
      <c r="E191">
        <v>32.299999999999997</v>
      </c>
      <c r="F191">
        <v>16.5</v>
      </c>
      <c r="G191">
        <v>233.5</v>
      </c>
    </row>
    <row r="192" spans="2:7" x14ac:dyDescent="0.2">
      <c r="B192">
        <v>1977</v>
      </c>
      <c r="C192">
        <v>10</v>
      </c>
      <c r="D192">
        <v>18.7</v>
      </c>
      <c r="E192">
        <v>27.6</v>
      </c>
      <c r="F192">
        <v>10.6</v>
      </c>
      <c r="G192">
        <v>60</v>
      </c>
    </row>
    <row r="193" spans="2:7" x14ac:dyDescent="0.2">
      <c r="B193">
        <v>1977</v>
      </c>
      <c r="C193">
        <v>11</v>
      </c>
      <c r="D193">
        <v>14.8</v>
      </c>
      <c r="E193">
        <v>26.7</v>
      </c>
      <c r="F193">
        <v>5.3</v>
      </c>
      <c r="G193">
        <v>102.5</v>
      </c>
    </row>
    <row r="194" spans="2:7" x14ac:dyDescent="0.2">
      <c r="B194">
        <v>1977</v>
      </c>
      <c r="C194">
        <v>12</v>
      </c>
      <c r="D194">
        <v>8.9</v>
      </c>
      <c r="E194">
        <v>22</v>
      </c>
      <c r="F194">
        <v>0.3</v>
      </c>
      <c r="G194">
        <v>53.5</v>
      </c>
    </row>
    <row r="195" spans="2:7" x14ac:dyDescent="0.2">
      <c r="B195">
        <v>1978</v>
      </c>
      <c r="C195">
        <v>1</v>
      </c>
      <c r="D195">
        <v>5.6</v>
      </c>
      <c r="E195">
        <v>16.3</v>
      </c>
      <c r="F195">
        <v>-1.6</v>
      </c>
      <c r="G195">
        <v>28</v>
      </c>
    </row>
    <row r="196" spans="2:7" x14ac:dyDescent="0.2">
      <c r="B196">
        <v>1978</v>
      </c>
      <c r="C196">
        <v>2</v>
      </c>
      <c r="D196">
        <v>4.2</v>
      </c>
      <c r="E196">
        <v>15.7</v>
      </c>
      <c r="F196">
        <v>-2</v>
      </c>
      <c r="G196">
        <v>32</v>
      </c>
    </row>
    <row r="197" spans="2:7" x14ac:dyDescent="0.2">
      <c r="B197">
        <v>1978</v>
      </c>
      <c r="C197">
        <v>3</v>
      </c>
      <c r="D197">
        <v>8.6999999999999993</v>
      </c>
      <c r="E197">
        <v>18.8</v>
      </c>
      <c r="F197">
        <v>1</v>
      </c>
      <c r="G197">
        <v>115.5</v>
      </c>
    </row>
    <row r="198" spans="2:7" x14ac:dyDescent="0.2">
      <c r="B198">
        <v>1978</v>
      </c>
      <c r="C198">
        <v>4</v>
      </c>
      <c r="D198">
        <v>13.9</v>
      </c>
      <c r="E198">
        <v>24.5</v>
      </c>
      <c r="F198">
        <v>4.5</v>
      </c>
      <c r="G198">
        <v>186.5</v>
      </c>
    </row>
    <row r="199" spans="2:7" x14ac:dyDescent="0.2">
      <c r="B199">
        <v>1978</v>
      </c>
      <c r="C199">
        <v>5</v>
      </c>
      <c r="D199">
        <v>19</v>
      </c>
      <c r="E199">
        <v>26</v>
      </c>
      <c r="F199">
        <v>8.6</v>
      </c>
      <c r="G199">
        <v>130</v>
      </c>
    </row>
    <row r="200" spans="2:7" x14ac:dyDescent="0.2">
      <c r="B200">
        <v>1978</v>
      </c>
      <c r="C200">
        <v>6</v>
      </c>
      <c r="D200">
        <v>23.8</v>
      </c>
      <c r="E200">
        <v>31.6</v>
      </c>
      <c r="F200">
        <v>15</v>
      </c>
      <c r="G200">
        <v>104</v>
      </c>
    </row>
    <row r="201" spans="2:7" x14ac:dyDescent="0.2">
      <c r="B201">
        <v>1978</v>
      </c>
      <c r="C201">
        <v>7</v>
      </c>
      <c r="D201">
        <v>27.8</v>
      </c>
      <c r="E201">
        <v>33.6</v>
      </c>
      <c r="F201">
        <v>21.5</v>
      </c>
      <c r="G201">
        <v>45</v>
      </c>
    </row>
    <row r="202" spans="2:7" x14ac:dyDescent="0.2">
      <c r="B202">
        <v>1978</v>
      </c>
      <c r="C202">
        <v>8</v>
      </c>
      <c r="D202">
        <v>28.9</v>
      </c>
      <c r="E202">
        <v>36.299999999999997</v>
      </c>
      <c r="F202">
        <v>21.9</v>
      </c>
      <c r="G202">
        <v>26</v>
      </c>
    </row>
    <row r="203" spans="2:7" x14ac:dyDescent="0.2">
      <c r="B203">
        <v>1978</v>
      </c>
      <c r="C203">
        <v>9</v>
      </c>
      <c r="D203">
        <v>22.2</v>
      </c>
      <c r="E203">
        <v>33.1</v>
      </c>
      <c r="F203">
        <v>15.8</v>
      </c>
      <c r="G203">
        <v>124</v>
      </c>
    </row>
    <row r="204" spans="2:7" x14ac:dyDescent="0.2">
      <c r="B204">
        <v>1978</v>
      </c>
      <c r="C204">
        <v>10</v>
      </c>
      <c r="D204">
        <v>17.3</v>
      </c>
      <c r="E204">
        <v>26.6</v>
      </c>
      <c r="F204">
        <v>10.4</v>
      </c>
      <c r="G204">
        <v>147</v>
      </c>
    </row>
    <row r="205" spans="2:7" x14ac:dyDescent="0.2">
      <c r="B205">
        <v>1978</v>
      </c>
      <c r="C205">
        <v>11</v>
      </c>
      <c r="D205">
        <v>12.9</v>
      </c>
      <c r="E205">
        <v>22.1</v>
      </c>
      <c r="F205">
        <v>5.4</v>
      </c>
      <c r="G205">
        <v>65</v>
      </c>
    </row>
    <row r="206" spans="2:7" x14ac:dyDescent="0.2">
      <c r="B206">
        <v>1978</v>
      </c>
      <c r="C206">
        <v>12</v>
      </c>
      <c r="D206">
        <v>8.5</v>
      </c>
      <c r="E206">
        <v>18.899999999999999</v>
      </c>
      <c r="F206">
        <v>0</v>
      </c>
      <c r="G206">
        <v>27</v>
      </c>
    </row>
    <row r="207" spans="2:7" x14ac:dyDescent="0.2">
      <c r="B207">
        <v>1979</v>
      </c>
      <c r="C207">
        <v>1</v>
      </c>
      <c r="D207">
        <v>6.6</v>
      </c>
      <c r="E207">
        <v>16.600000000000001</v>
      </c>
      <c r="F207">
        <v>-0.5</v>
      </c>
      <c r="G207">
        <v>59</v>
      </c>
    </row>
    <row r="208" spans="2:7" x14ac:dyDescent="0.2">
      <c r="B208">
        <v>1979</v>
      </c>
      <c r="C208">
        <v>2</v>
      </c>
      <c r="D208">
        <v>8.4</v>
      </c>
      <c r="E208">
        <v>19.899999999999999</v>
      </c>
      <c r="F208">
        <v>1.5</v>
      </c>
      <c r="G208">
        <v>96</v>
      </c>
    </row>
    <row r="209" spans="2:7" x14ac:dyDescent="0.2">
      <c r="B209">
        <v>1979</v>
      </c>
      <c r="C209">
        <v>3</v>
      </c>
      <c r="D209">
        <v>9.9</v>
      </c>
      <c r="E209">
        <v>22.8</v>
      </c>
      <c r="F209">
        <v>1.6</v>
      </c>
      <c r="G209">
        <v>92</v>
      </c>
    </row>
    <row r="210" spans="2:7" x14ac:dyDescent="0.2">
      <c r="B210">
        <v>1979</v>
      </c>
      <c r="C210">
        <v>4</v>
      </c>
      <c r="D210">
        <v>13.9</v>
      </c>
      <c r="E210">
        <v>24</v>
      </c>
      <c r="F210">
        <v>5.8</v>
      </c>
      <c r="G210">
        <v>109.5</v>
      </c>
    </row>
    <row r="211" spans="2:7" x14ac:dyDescent="0.2">
      <c r="B211">
        <v>1979</v>
      </c>
      <c r="C211">
        <v>5</v>
      </c>
      <c r="D211">
        <v>18.600000000000001</v>
      </c>
      <c r="E211">
        <v>27.9</v>
      </c>
      <c r="F211">
        <v>10.3</v>
      </c>
      <c r="G211">
        <v>148.5</v>
      </c>
    </row>
    <row r="212" spans="2:7" x14ac:dyDescent="0.2">
      <c r="B212">
        <v>1979</v>
      </c>
      <c r="C212">
        <v>6</v>
      </c>
      <c r="D212">
        <v>24.4</v>
      </c>
      <c r="E212">
        <v>34.1</v>
      </c>
      <c r="F212">
        <v>15.5</v>
      </c>
      <c r="G212">
        <v>63</v>
      </c>
    </row>
    <row r="213" spans="2:7" x14ac:dyDescent="0.2">
      <c r="B213">
        <v>1979</v>
      </c>
      <c r="C213">
        <v>7</v>
      </c>
      <c r="D213">
        <v>25.2</v>
      </c>
      <c r="E213">
        <v>34.299999999999997</v>
      </c>
      <c r="F213">
        <v>18.100000000000001</v>
      </c>
      <c r="G213">
        <v>88.5</v>
      </c>
    </row>
    <row r="214" spans="2:7" x14ac:dyDescent="0.2">
      <c r="B214">
        <v>1979</v>
      </c>
      <c r="C214">
        <v>8</v>
      </c>
      <c r="D214">
        <v>27.4</v>
      </c>
      <c r="E214">
        <v>33.5</v>
      </c>
      <c r="F214">
        <v>20.7</v>
      </c>
      <c r="G214">
        <v>104.5</v>
      </c>
    </row>
    <row r="215" spans="2:7" x14ac:dyDescent="0.2">
      <c r="B215">
        <v>1979</v>
      </c>
      <c r="C215">
        <v>9</v>
      </c>
      <c r="D215">
        <v>24.1</v>
      </c>
      <c r="E215">
        <v>32.700000000000003</v>
      </c>
      <c r="F215">
        <v>16.8</v>
      </c>
      <c r="G215">
        <v>146.5</v>
      </c>
    </row>
    <row r="216" spans="2:7" x14ac:dyDescent="0.2">
      <c r="B216">
        <v>1979</v>
      </c>
      <c r="C216">
        <v>10</v>
      </c>
      <c r="D216">
        <v>19.600000000000001</v>
      </c>
      <c r="E216">
        <v>32.6</v>
      </c>
      <c r="F216">
        <v>12.7</v>
      </c>
      <c r="G216">
        <v>320.5</v>
      </c>
    </row>
    <row r="217" spans="2:7" x14ac:dyDescent="0.2">
      <c r="B217">
        <v>1979</v>
      </c>
      <c r="C217">
        <v>11</v>
      </c>
      <c r="D217">
        <v>14.3</v>
      </c>
      <c r="E217">
        <v>25.3</v>
      </c>
      <c r="F217">
        <v>5.0999999999999996</v>
      </c>
      <c r="G217">
        <v>182.5</v>
      </c>
    </row>
    <row r="218" spans="2:7" x14ac:dyDescent="0.2">
      <c r="B218">
        <v>1979</v>
      </c>
      <c r="C218">
        <v>12</v>
      </c>
      <c r="D218">
        <v>10.1</v>
      </c>
      <c r="E218">
        <v>18.7</v>
      </c>
      <c r="F218">
        <v>3.3</v>
      </c>
      <c r="G218">
        <v>43</v>
      </c>
    </row>
    <row r="219" spans="2:7" x14ac:dyDescent="0.2">
      <c r="B219">
        <v>1980</v>
      </c>
      <c r="C219">
        <v>1</v>
      </c>
      <c r="D219">
        <v>5.6</v>
      </c>
      <c r="E219">
        <v>18.8</v>
      </c>
      <c r="F219">
        <v>-1.1000000000000001</v>
      </c>
      <c r="G219">
        <v>88.5</v>
      </c>
    </row>
    <row r="220" spans="2:7" x14ac:dyDescent="0.2">
      <c r="B220">
        <v>1980</v>
      </c>
      <c r="C220">
        <v>2</v>
      </c>
      <c r="D220">
        <v>5.2</v>
      </c>
      <c r="E220">
        <v>13.3</v>
      </c>
      <c r="F220">
        <v>-1.2</v>
      </c>
      <c r="G220">
        <v>26</v>
      </c>
    </row>
    <row r="221" spans="2:7" x14ac:dyDescent="0.2">
      <c r="B221">
        <v>1980</v>
      </c>
      <c r="C221">
        <v>3</v>
      </c>
      <c r="D221">
        <v>8.1999999999999993</v>
      </c>
      <c r="E221">
        <v>21.2</v>
      </c>
      <c r="F221">
        <v>1.3</v>
      </c>
      <c r="G221">
        <v>173.5</v>
      </c>
    </row>
    <row r="222" spans="2:7" x14ac:dyDescent="0.2">
      <c r="B222">
        <v>1980</v>
      </c>
      <c r="C222">
        <v>4</v>
      </c>
      <c r="D222">
        <v>13.6</v>
      </c>
      <c r="E222">
        <v>24</v>
      </c>
      <c r="F222">
        <v>4.5999999999999996</v>
      </c>
      <c r="G222">
        <v>107</v>
      </c>
    </row>
    <row r="223" spans="2:7" x14ac:dyDescent="0.2">
      <c r="B223">
        <v>1980</v>
      </c>
      <c r="C223">
        <v>5</v>
      </c>
      <c r="D223">
        <v>19.2</v>
      </c>
      <c r="E223">
        <v>29.5</v>
      </c>
      <c r="F223">
        <v>9.6</v>
      </c>
      <c r="G223">
        <v>154.5</v>
      </c>
    </row>
    <row r="224" spans="2:7" x14ac:dyDescent="0.2">
      <c r="B224">
        <v>1980</v>
      </c>
      <c r="C224">
        <v>6</v>
      </c>
      <c r="D224">
        <v>23.6</v>
      </c>
      <c r="E224">
        <v>31.6</v>
      </c>
      <c r="F224">
        <v>17.7</v>
      </c>
      <c r="G224">
        <v>172.5</v>
      </c>
    </row>
    <row r="225" spans="2:7" x14ac:dyDescent="0.2">
      <c r="B225">
        <v>1980</v>
      </c>
      <c r="C225">
        <v>7</v>
      </c>
      <c r="D225">
        <v>23.8</v>
      </c>
      <c r="E225">
        <v>33</v>
      </c>
      <c r="F225">
        <v>16.399999999999999</v>
      </c>
      <c r="G225">
        <v>202</v>
      </c>
    </row>
    <row r="226" spans="2:7" x14ac:dyDescent="0.2">
      <c r="B226">
        <v>1980</v>
      </c>
      <c r="C226">
        <v>8</v>
      </c>
      <c r="D226">
        <v>23.4</v>
      </c>
      <c r="E226">
        <v>32.200000000000003</v>
      </c>
      <c r="F226">
        <v>17.600000000000001</v>
      </c>
      <c r="G226">
        <v>168.5</v>
      </c>
    </row>
    <row r="227" spans="2:7" x14ac:dyDescent="0.2">
      <c r="B227">
        <v>1980</v>
      </c>
      <c r="C227">
        <v>9</v>
      </c>
      <c r="D227">
        <v>23</v>
      </c>
      <c r="E227">
        <v>31.9</v>
      </c>
      <c r="F227">
        <v>13.2</v>
      </c>
      <c r="G227">
        <v>181.5</v>
      </c>
    </row>
    <row r="228" spans="2:7" x14ac:dyDescent="0.2">
      <c r="B228">
        <v>1980</v>
      </c>
      <c r="C228">
        <v>10</v>
      </c>
      <c r="D228">
        <v>18.2</v>
      </c>
      <c r="E228">
        <v>28.8</v>
      </c>
      <c r="F228">
        <v>8.6999999999999993</v>
      </c>
      <c r="G228">
        <v>136</v>
      </c>
    </row>
    <row r="229" spans="2:7" x14ac:dyDescent="0.2">
      <c r="B229">
        <v>1980</v>
      </c>
      <c r="C229">
        <v>11</v>
      </c>
      <c r="D229">
        <v>13</v>
      </c>
      <c r="E229">
        <v>21.8</v>
      </c>
      <c r="F229">
        <v>5.0999999999999996</v>
      </c>
      <c r="G229">
        <v>133.5</v>
      </c>
    </row>
    <row r="230" spans="2:7" x14ac:dyDescent="0.2">
      <c r="B230">
        <v>1980</v>
      </c>
      <c r="C230">
        <v>12</v>
      </c>
      <c r="D230">
        <v>7.7</v>
      </c>
      <c r="E230">
        <v>19.3</v>
      </c>
      <c r="F230">
        <v>-0.7</v>
      </c>
      <c r="G230">
        <v>34</v>
      </c>
    </row>
    <row r="231" spans="2:7" x14ac:dyDescent="0.2">
      <c r="B231">
        <v>1981</v>
      </c>
      <c r="C231">
        <v>1</v>
      </c>
      <c r="D231">
        <v>4.4000000000000004</v>
      </c>
      <c r="E231">
        <v>12</v>
      </c>
      <c r="F231">
        <v>-2.2000000000000002</v>
      </c>
      <c r="G231">
        <v>3.5</v>
      </c>
    </row>
    <row r="232" spans="2:7" x14ac:dyDescent="0.2">
      <c r="B232">
        <v>1981</v>
      </c>
      <c r="C232">
        <v>2</v>
      </c>
      <c r="D232">
        <v>5.3</v>
      </c>
      <c r="E232">
        <v>17.2</v>
      </c>
      <c r="F232">
        <v>-3.5</v>
      </c>
      <c r="G232">
        <v>38</v>
      </c>
    </row>
    <row r="233" spans="2:7" x14ac:dyDescent="0.2">
      <c r="B233">
        <v>1981</v>
      </c>
      <c r="C233">
        <v>3</v>
      </c>
      <c r="D233">
        <v>9</v>
      </c>
      <c r="E233">
        <v>20.6</v>
      </c>
      <c r="F233">
        <v>0.2</v>
      </c>
      <c r="G233">
        <v>113</v>
      </c>
    </row>
    <row r="234" spans="2:7" x14ac:dyDescent="0.2">
      <c r="B234">
        <v>1981</v>
      </c>
      <c r="C234">
        <v>4</v>
      </c>
      <c r="D234">
        <v>13.9</v>
      </c>
      <c r="E234">
        <v>23.9</v>
      </c>
      <c r="F234">
        <v>2.7</v>
      </c>
      <c r="G234">
        <v>166</v>
      </c>
    </row>
    <row r="235" spans="2:7" x14ac:dyDescent="0.2">
      <c r="B235">
        <v>1981</v>
      </c>
      <c r="C235">
        <v>5</v>
      </c>
      <c r="D235">
        <v>17.5</v>
      </c>
      <c r="E235">
        <v>28.4</v>
      </c>
      <c r="F235">
        <v>10.199999999999999</v>
      </c>
      <c r="G235">
        <v>151.5</v>
      </c>
    </row>
    <row r="236" spans="2:7" x14ac:dyDescent="0.2">
      <c r="B236">
        <v>1981</v>
      </c>
      <c r="C236">
        <v>6</v>
      </c>
      <c r="D236">
        <v>20.2</v>
      </c>
      <c r="E236">
        <v>32</v>
      </c>
      <c r="F236">
        <v>12.4</v>
      </c>
      <c r="G236">
        <v>103</v>
      </c>
    </row>
    <row r="237" spans="2:7" x14ac:dyDescent="0.2">
      <c r="B237">
        <v>1981</v>
      </c>
      <c r="C237">
        <v>7</v>
      </c>
      <c r="D237">
        <v>26.3</v>
      </c>
      <c r="E237">
        <v>34.299999999999997</v>
      </c>
      <c r="F237">
        <v>17</v>
      </c>
      <c r="G237">
        <v>167</v>
      </c>
    </row>
    <row r="238" spans="2:7" x14ac:dyDescent="0.2">
      <c r="B238">
        <v>1981</v>
      </c>
      <c r="C238">
        <v>8</v>
      </c>
      <c r="D238">
        <v>26.2</v>
      </c>
      <c r="E238">
        <v>33.9</v>
      </c>
      <c r="F238">
        <v>20</v>
      </c>
      <c r="G238">
        <v>133</v>
      </c>
    </row>
    <row r="239" spans="2:7" x14ac:dyDescent="0.2">
      <c r="B239">
        <v>1981</v>
      </c>
      <c r="C239">
        <v>9</v>
      </c>
      <c r="D239">
        <v>21.8</v>
      </c>
      <c r="E239">
        <v>31.6</v>
      </c>
      <c r="F239">
        <v>15.6</v>
      </c>
      <c r="G239">
        <v>138.5</v>
      </c>
    </row>
    <row r="240" spans="2:7" x14ac:dyDescent="0.2">
      <c r="B240">
        <v>1981</v>
      </c>
      <c r="C240">
        <v>10</v>
      </c>
      <c r="D240">
        <v>17.600000000000001</v>
      </c>
      <c r="E240">
        <v>26.7</v>
      </c>
      <c r="F240">
        <v>10.1</v>
      </c>
      <c r="G240">
        <v>343.5</v>
      </c>
    </row>
    <row r="241" spans="2:7" x14ac:dyDescent="0.2">
      <c r="B241">
        <v>1981</v>
      </c>
      <c r="C241">
        <v>11</v>
      </c>
      <c r="D241">
        <v>10.4</v>
      </c>
      <c r="E241">
        <v>21.4</v>
      </c>
      <c r="F241">
        <v>2.4</v>
      </c>
      <c r="G241">
        <v>99</v>
      </c>
    </row>
    <row r="242" spans="2:7" x14ac:dyDescent="0.2">
      <c r="B242">
        <v>1981</v>
      </c>
      <c r="C242">
        <v>12</v>
      </c>
      <c r="D242">
        <v>7.6</v>
      </c>
      <c r="E242">
        <v>16.2</v>
      </c>
      <c r="F242">
        <v>0.4</v>
      </c>
      <c r="G242">
        <v>7.5</v>
      </c>
    </row>
    <row r="243" spans="2:7" x14ac:dyDescent="0.2">
      <c r="B243">
        <v>1982</v>
      </c>
      <c r="C243">
        <v>1</v>
      </c>
      <c r="D243">
        <v>5.8</v>
      </c>
      <c r="E243">
        <v>16.8</v>
      </c>
      <c r="F243">
        <v>-1</v>
      </c>
      <c r="G243">
        <v>32.5</v>
      </c>
    </row>
    <row r="244" spans="2:7" x14ac:dyDescent="0.2">
      <c r="B244">
        <v>1982</v>
      </c>
      <c r="C244">
        <v>2</v>
      </c>
      <c r="D244">
        <v>5.5</v>
      </c>
      <c r="E244">
        <v>13.1</v>
      </c>
      <c r="F244">
        <v>-1</v>
      </c>
      <c r="G244">
        <v>51.5</v>
      </c>
    </row>
    <row r="245" spans="2:7" x14ac:dyDescent="0.2">
      <c r="B245">
        <v>1982</v>
      </c>
      <c r="C245">
        <v>3</v>
      </c>
      <c r="D245">
        <v>9.9</v>
      </c>
      <c r="E245">
        <v>21.3</v>
      </c>
      <c r="F245">
        <v>1.2</v>
      </c>
      <c r="G245">
        <v>73</v>
      </c>
    </row>
    <row r="246" spans="2:7" x14ac:dyDescent="0.2">
      <c r="B246">
        <v>1982</v>
      </c>
      <c r="C246">
        <v>4</v>
      </c>
      <c r="D246">
        <v>14</v>
      </c>
      <c r="E246">
        <v>23.2</v>
      </c>
      <c r="F246">
        <v>4.7</v>
      </c>
      <c r="G246">
        <v>134</v>
      </c>
    </row>
    <row r="247" spans="2:7" x14ac:dyDescent="0.2">
      <c r="B247">
        <v>1982</v>
      </c>
      <c r="C247">
        <v>5</v>
      </c>
      <c r="D247">
        <v>20.7</v>
      </c>
      <c r="E247">
        <v>28.7</v>
      </c>
      <c r="F247">
        <v>11.9</v>
      </c>
      <c r="G247">
        <v>85.5</v>
      </c>
    </row>
    <row r="248" spans="2:7" x14ac:dyDescent="0.2">
      <c r="B248">
        <v>1982</v>
      </c>
      <c r="C248">
        <v>6</v>
      </c>
      <c r="D248">
        <v>21.4</v>
      </c>
      <c r="E248">
        <v>29.4</v>
      </c>
      <c r="F248">
        <v>14.8</v>
      </c>
      <c r="G248">
        <v>224.5</v>
      </c>
    </row>
    <row r="249" spans="2:7" x14ac:dyDescent="0.2">
      <c r="B249">
        <v>1982</v>
      </c>
      <c r="C249">
        <v>7</v>
      </c>
      <c r="D249">
        <v>23.1</v>
      </c>
      <c r="E249">
        <v>31.2</v>
      </c>
      <c r="F249">
        <v>16.100000000000001</v>
      </c>
      <c r="G249">
        <v>140</v>
      </c>
    </row>
    <row r="250" spans="2:7" x14ac:dyDescent="0.2">
      <c r="B250">
        <v>1982</v>
      </c>
      <c r="C250">
        <v>8</v>
      </c>
      <c r="D250">
        <v>27.1</v>
      </c>
      <c r="E250">
        <v>33</v>
      </c>
      <c r="F250">
        <v>22</v>
      </c>
      <c r="G250">
        <v>152.5</v>
      </c>
    </row>
    <row r="251" spans="2:7" x14ac:dyDescent="0.2">
      <c r="B251">
        <v>1982</v>
      </c>
      <c r="C251">
        <v>9</v>
      </c>
      <c r="D251">
        <v>22.3</v>
      </c>
      <c r="E251">
        <v>31.3</v>
      </c>
      <c r="F251">
        <v>17</v>
      </c>
      <c r="G251">
        <v>371.5</v>
      </c>
    </row>
    <row r="252" spans="2:7" x14ac:dyDescent="0.2">
      <c r="B252">
        <v>1982</v>
      </c>
      <c r="C252">
        <v>10</v>
      </c>
      <c r="D252">
        <v>18</v>
      </c>
      <c r="E252">
        <v>27.3</v>
      </c>
      <c r="F252">
        <v>9.5</v>
      </c>
      <c r="G252">
        <v>159.5</v>
      </c>
    </row>
    <row r="253" spans="2:7" x14ac:dyDescent="0.2">
      <c r="B253">
        <v>1982</v>
      </c>
      <c r="C253">
        <v>11</v>
      </c>
      <c r="D253">
        <v>14.3</v>
      </c>
      <c r="E253">
        <v>25.3</v>
      </c>
      <c r="F253">
        <v>3.5</v>
      </c>
      <c r="G253">
        <v>136</v>
      </c>
    </row>
    <row r="254" spans="2:7" x14ac:dyDescent="0.2">
      <c r="B254">
        <v>1982</v>
      </c>
      <c r="C254">
        <v>12</v>
      </c>
      <c r="D254">
        <v>9.5</v>
      </c>
      <c r="E254">
        <v>20.9</v>
      </c>
      <c r="F254">
        <v>1.4</v>
      </c>
      <c r="G254">
        <v>15</v>
      </c>
    </row>
    <row r="255" spans="2:7" x14ac:dyDescent="0.2">
      <c r="B255">
        <v>1983</v>
      </c>
      <c r="C255">
        <v>1</v>
      </c>
      <c r="D255">
        <v>6.2</v>
      </c>
      <c r="E255">
        <v>16.5</v>
      </c>
      <c r="F255">
        <v>-2.4</v>
      </c>
      <c r="G255">
        <v>29.5</v>
      </c>
    </row>
    <row r="256" spans="2:7" x14ac:dyDescent="0.2">
      <c r="B256">
        <v>1983</v>
      </c>
      <c r="C256">
        <v>2</v>
      </c>
      <c r="D256">
        <v>6.1</v>
      </c>
      <c r="E256">
        <v>15</v>
      </c>
      <c r="F256">
        <v>-0.9</v>
      </c>
      <c r="G256">
        <v>50.5</v>
      </c>
    </row>
    <row r="257" spans="2:7" x14ac:dyDescent="0.2">
      <c r="B257">
        <v>1983</v>
      </c>
      <c r="C257">
        <v>3</v>
      </c>
      <c r="D257">
        <v>8.6</v>
      </c>
      <c r="E257">
        <v>17.2</v>
      </c>
      <c r="F257">
        <v>1.3</v>
      </c>
      <c r="G257">
        <v>99</v>
      </c>
    </row>
    <row r="258" spans="2:7" x14ac:dyDescent="0.2">
      <c r="B258">
        <v>1983</v>
      </c>
      <c r="C258">
        <v>4</v>
      </c>
      <c r="D258">
        <v>15.9</v>
      </c>
      <c r="E258">
        <v>26.8</v>
      </c>
      <c r="F258">
        <v>7.8</v>
      </c>
      <c r="G258">
        <v>114.5</v>
      </c>
    </row>
    <row r="259" spans="2:7" x14ac:dyDescent="0.2">
      <c r="B259">
        <v>1983</v>
      </c>
      <c r="C259">
        <v>5</v>
      </c>
      <c r="D259">
        <v>19.7</v>
      </c>
      <c r="E259">
        <v>28.5</v>
      </c>
      <c r="F259">
        <v>11</v>
      </c>
      <c r="G259">
        <v>105.5</v>
      </c>
    </row>
    <row r="260" spans="2:7" x14ac:dyDescent="0.2">
      <c r="B260">
        <v>1983</v>
      </c>
      <c r="C260">
        <v>6</v>
      </c>
      <c r="D260">
        <v>20.5</v>
      </c>
      <c r="E260">
        <v>29.8</v>
      </c>
      <c r="F260">
        <v>13.6</v>
      </c>
      <c r="G260">
        <v>198</v>
      </c>
    </row>
    <row r="261" spans="2:7" x14ac:dyDescent="0.2">
      <c r="B261">
        <v>1983</v>
      </c>
      <c r="C261">
        <v>7</v>
      </c>
      <c r="D261">
        <v>23.8</v>
      </c>
      <c r="E261">
        <v>32.9</v>
      </c>
      <c r="F261">
        <v>15.1</v>
      </c>
      <c r="G261">
        <v>141.5</v>
      </c>
    </row>
    <row r="262" spans="2:7" x14ac:dyDescent="0.2">
      <c r="B262">
        <v>1983</v>
      </c>
      <c r="C262">
        <v>8</v>
      </c>
      <c r="D262">
        <v>27.5</v>
      </c>
      <c r="E262">
        <v>37.1</v>
      </c>
      <c r="F262">
        <v>21.2</v>
      </c>
      <c r="G262">
        <v>168.5</v>
      </c>
    </row>
    <row r="263" spans="2:7" x14ac:dyDescent="0.2">
      <c r="B263">
        <v>1983</v>
      </c>
      <c r="C263">
        <v>9</v>
      </c>
      <c r="D263">
        <v>23.1</v>
      </c>
      <c r="E263">
        <v>33.299999999999997</v>
      </c>
      <c r="F263">
        <v>14.9</v>
      </c>
      <c r="G263">
        <v>242.5</v>
      </c>
    </row>
    <row r="264" spans="2:7" x14ac:dyDescent="0.2">
      <c r="B264">
        <v>1983</v>
      </c>
      <c r="C264">
        <v>10</v>
      </c>
      <c r="D264">
        <v>17.7</v>
      </c>
      <c r="E264">
        <v>27.9</v>
      </c>
      <c r="F264">
        <v>7.3</v>
      </c>
      <c r="G264">
        <v>130</v>
      </c>
    </row>
    <row r="265" spans="2:7" x14ac:dyDescent="0.2">
      <c r="B265">
        <v>1983</v>
      </c>
      <c r="C265">
        <v>11</v>
      </c>
      <c r="D265">
        <v>12.3</v>
      </c>
      <c r="E265">
        <v>21.6</v>
      </c>
      <c r="F265">
        <v>2.2000000000000002</v>
      </c>
      <c r="G265">
        <v>53.5</v>
      </c>
    </row>
    <row r="266" spans="2:7" x14ac:dyDescent="0.2">
      <c r="B266">
        <v>1983</v>
      </c>
      <c r="C266">
        <v>12</v>
      </c>
      <c r="D266">
        <v>7.1</v>
      </c>
      <c r="E266">
        <v>17.3</v>
      </c>
      <c r="F266">
        <v>-0.6</v>
      </c>
      <c r="G266">
        <v>7.5</v>
      </c>
    </row>
    <row r="267" spans="2:7" x14ac:dyDescent="0.2">
      <c r="B267">
        <v>1984</v>
      </c>
      <c r="C267">
        <v>1</v>
      </c>
      <c r="D267">
        <v>3.7</v>
      </c>
      <c r="E267">
        <v>14.6</v>
      </c>
      <c r="F267">
        <v>-2.5</v>
      </c>
      <c r="G267">
        <v>50</v>
      </c>
    </row>
    <row r="268" spans="2:7" x14ac:dyDescent="0.2">
      <c r="B268">
        <v>1984</v>
      </c>
      <c r="C268">
        <v>2</v>
      </c>
      <c r="D268">
        <v>3</v>
      </c>
      <c r="E268">
        <v>12.8</v>
      </c>
      <c r="F268">
        <v>-3.5</v>
      </c>
      <c r="G268">
        <v>51</v>
      </c>
    </row>
    <row r="269" spans="2:7" x14ac:dyDescent="0.2">
      <c r="B269">
        <v>1984</v>
      </c>
      <c r="C269">
        <v>3</v>
      </c>
      <c r="D269">
        <v>5.9</v>
      </c>
      <c r="E269">
        <v>19.100000000000001</v>
      </c>
      <c r="F269">
        <v>-1.5</v>
      </c>
      <c r="G269">
        <v>69</v>
      </c>
    </row>
    <row r="270" spans="2:7" x14ac:dyDescent="0.2">
      <c r="B270">
        <v>1984</v>
      </c>
      <c r="C270">
        <v>4</v>
      </c>
      <c r="D270">
        <v>11.6</v>
      </c>
      <c r="E270">
        <v>24</v>
      </c>
      <c r="F270">
        <v>1.8</v>
      </c>
      <c r="G270">
        <v>64</v>
      </c>
    </row>
    <row r="271" spans="2:7" x14ac:dyDescent="0.2">
      <c r="B271">
        <v>1984</v>
      </c>
      <c r="C271">
        <v>5</v>
      </c>
      <c r="D271">
        <v>17.2</v>
      </c>
      <c r="E271">
        <v>27.7</v>
      </c>
      <c r="F271">
        <v>9.3000000000000007</v>
      </c>
      <c r="G271">
        <v>77.5</v>
      </c>
    </row>
    <row r="272" spans="2:7" x14ac:dyDescent="0.2">
      <c r="B272">
        <v>1984</v>
      </c>
      <c r="C272">
        <v>6</v>
      </c>
      <c r="D272">
        <v>21.8</v>
      </c>
      <c r="E272">
        <v>31.5</v>
      </c>
      <c r="F272">
        <v>16.5</v>
      </c>
      <c r="G272">
        <v>202</v>
      </c>
    </row>
    <row r="273" spans="2:7" x14ac:dyDescent="0.2">
      <c r="B273">
        <v>1984</v>
      </c>
      <c r="C273">
        <v>7</v>
      </c>
      <c r="D273">
        <v>26.2</v>
      </c>
      <c r="E273">
        <v>33.6</v>
      </c>
      <c r="F273">
        <v>17.5</v>
      </c>
      <c r="G273">
        <v>81.5</v>
      </c>
    </row>
    <row r="274" spans="2:7" x14ac:dyDescent="0.2">
      <c r="B274">
        <v>1984</v>
      </c>
      <c r="C274">
        <v>8</v>
      </c>
      <c r="D274">
        <v>28.6</v>
      </c>
      <c r="E274">
        <v>35</v>
      </c>
      <c r="F274">
        <v>21.8</v>
      </c>
      <c r="G274">
        <v>31.5</v>
      </c>
    </row>
    <row r="275" spans="2:7" x14ac:dyDescent="0.2">
      <c r="B275">
        <v>1984</v>
      </c>
      <c r="C275">
        <v>9</v>
      </c>
      <c r="D275">
        <v>23.5</v>
      </c>
      <c r="E275">
        <v>38.1</v>
      </c>
      <c r="F275">
        <v>15.7</v>
      </c>
      <c r="G275">
        <v>61</v>
      </c>
    </row>
    <row r="276" spans="2:7" x14ac:dyDescent="0.2">
      <c r="B276">
        <v>1984</v>
      </c>
      <c r="C276">
        <v>10</v>
      </c>
      <c r="D276">
        <v>17.7</v>
      </c>
      <c r="E276">
        <v>30.4</v>
      </c>
      <c r="F276">
        <v>7.7</v>
      </c>
      <c r="G276">
        <v>73.5</v>
      </c>
    </row>
    <row r="277" spans="2:7" x14ac:dyDescent="0.2">
      <c r="B277">
        <v>1984</v>
      </c>
      <c r="C277">
        <v>11</v>
      </c>
      <c r="D277">
        <v>12.2</v>
      </c>
      <c r="E277">
        <v>22.7</v>
      </c>
      <c r="F277">
        <v>3.7</v>
      </c>
      <c r="G277">
        <v>50.5</v>
      </c>
    </row>
    <row r="278" spans="2:7" x14ac:dyDescent="0.2">
      <c r="B278">
        <v>1984</v>
      </c>
      <c r="C278">
        <v>12</v>
      </c>
      <c r="D278">
        <v>7.7</v>
      </c>
      <c r="E278">
        <v>19.8</v>
      </c>
      <c r="F278">
        <v>-1.1000000000000001</v>
      </c>
      <c r="G278">
        <v>68</v>
      </c>
    </row>
    <row r="279" spans="2:7" x14ac:dyDescent="0.2">
      <c r="B279">
        <v>1985</v>
      </c>
      <c r="C279">
        <v>1</v>
      </c>
      <c r="D279">
        <v>4.0999999999999996</v>
      </c>
      <c r="E279">
        <v>13.5</v>
      </c>
      <c r="F279">
        <v>-2.5</v>
      </c>
      <c r="G279">
        <v>4.5</v>
      </c>
    </row>
    <row r="280" spans="2:7" x14ac:dyDescent="0.2">
      <c r="B280">
        <v>1985</v>
      </c>
      <c r="C280">
        <v>2</v>
      </c>
      <c r="D280">
        <v>6.5</v>
      </c>
      <c r="E280">
        <v>14.7</v>
      </c>
      <c r="F280">
        <v>-1.3</v>
      </c>
      <c r="G280">
        <v>142</v>
      </c>
    </row>
    <row r="281" spans="2:7" x14ac:dyDescent="0.2">
      <c r="B281">
        <v>1985</v>
      </c>
      <c r="C281">
        <v>3</v>
      </c>
      <c r="D281">
        <v>7.8</v>
      </c>
      <c r="E281">
        <v>20.3</v>
      </c>
      <c r="F281">
        <v>1.3</v>
      </c>
      <c r="G281">
        <v>134.5</v>
      </c>
    </row>
    <row r="282" spans="2:7" x14ac:dyDescent="0.2">
      <c r="B282">
        <v>1985</v>
      </c>
      <c r="C282">
        <v>4</v>
      </c>
      <c r="D282">
        <v>14.2</v>
      </c>
      <c r="E282">
        <v>23.7</v>
      </c>
      <c r="F282">
        <v>3.3</v>
      </c>
      <c r="G282">
        <v>201.5</v>
      </c>
    </row>
    <row r="283" spans="2:7" x14ac:dyDescent="0.2">
      <c r="B283">
        <v>1985</v>
      </c>
      <c r="C283">
        <v>5</v>
      </c>
      <c r="D283">
        <v>19.100000000000001</v>
      </c>
      <c r="E283">
        <v>26.5</v>
      </c>
      <c r="F283">
        <v>12.2</v>
      </c>
      <c r="G283">
        <v>89.5</v>
      </c>
    </row>
    <row r="284" spans="2:7" x14ac:dyDescent="0.2">
      <c r="B284">
        <v>1985</v>
      </c>
      <c r="C284">
        <v>6</v>
      </c>
      <c r="D284">
        <v>20.2</v>
      </c>
      <c r="E284">
        <v>30.1</v>
      </c>
      <c r="F284">
        <v>13.2</v>
      </c>
      <c r="G284">
        <v>381</v>
      </c>
    </row>
    <row r="285" spans="2:7" x14ac:dyDescent="0.2">
      <c r="B285">
        <v>1985</v>
      </c>
      <c r="C285">
        <v>7</v>
      </c>
      <c r="D285">
        <v>26.3</v>
      </c>
      <c r="E285">
        <v>34.299999999999997</v>
      </c>
      <c r="F285">
        <v>19.7</v>
      </c>
      <c r="G285">
        <v>115</v>
      </c>
    </row>
    <row r="286" spans="2:7" x14ac:dyDescent="0.2">
      <c r="B286">
        <v>1985</v>
      </c>
      <c r="C286">
        <v>8</v>
      </c>
      <c r="D286">
        <v>27.9</v>
      </c>
      <c r="E286">
        <v>33.9</v>
      </c>
      <c r="F286">
        <v>22.6</v>
      </c>
      <c r="G286">
        <v>146</v>
      </c>
    </row>
    <row r="287" spans="2:7" x14ac:dyDescent="0.2">
      <c r="B287">
        <v>1985</v>
      </c>
      <c r="C287">
        <v>9</v>
      </c>
      <c r="D287">
        <v>23.1</v>
      </c>
      <c r="E287">
        <v>35</v>
      </c>
      <c r="F287">
        <v>14.5</v>
      </c>
      <c r="G287">
        <v>106</v>
      </c>
    </row>
    <row r="288" spans="2:7" x14ac:dyDescent="0.2">
      <c r="B288">
        <v>1985</v>
      </c>
      <c r="C288">
        <v>10</v>
      </c>
      <c r="D288">
        <v>17.899999999999999</v>
      </c>
      <c r="E288">
        <v>29</v>
      </c>
      <c r="F288">
        <v>10</v>
      </c>
      <c r="G288">
        <v>92.5</v>
      </c>
    </row>
    <row r="289" spans="2:7" x14ac:dyDescent="0.2">
      <c r="B289">
        <v>1985</v>
      </c>
      <c r="C289">
        <v>11</v>
      </c>
      <c r="D289">
        <v>13.3</v>
      </c>
      <c r="E289">
        <v>24.5</v>
      </c>
      <c r="F289">
        <v>3.6</v>
      </c>
      <c r="G289">
        <v>85.5</v>
      </c>
    </row>
    <row r="290" spans="2:7" x14ac:dyDescent="0.2">
      <c r="B290">
        <v>1985</v>
      </c>
      <c r="C290">
        <v>12</v>
      </c>
      <c r="D290">
        <v>7.4</v>
      </c>
      <c r="E290">
        <v>18.8</v>
      </c>
      <c r="F290">
        <v>-0.5</v>
      </c>
      <c r="G290">
        <v>18.5</v>
      </c>
    </row>
    <row r="291" spans="2:7" x14ac:dyDescent="0.2">
      <c r="B291">
        <v>1986</v>
      </c>
      <c r="C291">
        <v>1</v>
      </c>
      <c r="D291">
        <v>4.5</v>
      </c>
      <c r="E291">
        <v>11.8</v>
      </c>
      <c r="F291">
        <v>-1.3</v>
      </c>
      <c r="G291">
        <v>15</v>
      </c>
    </row>
    <row r="292" spans="2:7" x14ac:dyDescent="0.2">
      <c r="B292">
        <v>1986</v>
      </c>
      <c r="C292">
        <v>2</v>
      </c>
      <c r="D292">
        <v>4.3</v>
      </c>
      <c r="E292">
        <v>14.5</v>
      </c>
      <c r="F292">
        <v>-1.6</v>
      </c>
      <c r="G292">
        <v>27.5</v>
      </c>
    </row>
    <row r="293" spans="2:7" x14ac:dyDescent="0.2">
      <c r="B293">
        <v>1986</v>
      </c>
      <c r="C293">
        <v>3</v>
      </c>
      <c r="D293">
        <v>7.8</v>
      </c>
      <c r="E293">
        <v>18.100000000000001</v>
      </c>
      <c r="F293">
        <v>0</v>
      </c>
      <c r="G293">
        <v>188</v>
      </c>
    </row>
    <row r="294" spans="2:7" x14ac:dyDescent="0.2">
      <c r="B294">
        <v>1986</v>
      </c>
      <c r="C294">
        <v>4</v>
      </c>
      <c r="D294">
        <v>13.9</v>
      </c>
      <c r="E294">
        <v>23</v>
      </c>
      <c r="F294">
        <v>4.5999999999999996</v>
      </c>
      <c r="G294">
        <v>88</v>
      </c>
    </row>
    <row r="295" spans="2:7" x14ac:dyDescent="0.2">
      <c r="B295">
        <v>1986</v>
      </c>
      <c r="C295">
        <v>5</v>
      </c>
      <c r="D295">
        <v>17.899999999999999</v>
      </c>
      <c r="E295">
        <v>26.9</v>
      </c>
      <c r="F295">
        <v>11.2</v>
      </c>
      <c r="G295">
        <v>210</v>
      </c>
    </row>
    <row r="296" spans="2:7" x14ac:dyDescent="0.2">
      <c r="B296">
        <v>1986</v>
      </c>
      <c r="C296">
        <v>6</v>
      </c>
      <c r="D296">
        <v>21.1</v>
      </c>
      <c r="E296">
        <v>31.5</v>
      </c>
      <c r="F296">
        <v>13.8</v>
      </c>
      <c r="G296">
        <v>138</v>
      </c>
    </row>
    <row r="297" spans="2:7" x14ac:dyDescent="0.2">
      <c r="B297">
        <v>1986</v>
      </c>
      <c r="C297">
        <v>7</v>
      </c>
      <c r="D297">
        <v>23.9</v>
      </c>
      <c r="E297">
        <v>33.4</v>
      </c>
      <c r="F297">
        <v>16.7</v>
      </c>
      <c r="G297">
        <v>137</v>
      </c>
    </row>
    <row r="298" spans="2:7" x14ac:dyDescent="0.2">
      <c r="B298">
        <v>1986</v>
      </c>
      <c r="C298">
        <v>8</v>
      </c>
      <c r="D298">
        <v>26.8</v>
      </c>
      <c r="E298">
        <v>34.6</v>
      </c>
      <c r="F298">
        <v>19.600000000000001</v>
      </c>
      <c r="G298">
        <v>233.5</v>
      </c>
    </row>
    <row r="299" spans="2:7" x14ac:dyDescent="0.2">
      <c r="B299">
        <v>1986</v>
      </c>
      <c r="C299">
        <v>9</v>
      </c>
      <c r="D299">
        <v>23.7</v>
      </c>
      <c r="E299">
        <v>34.5</v>
      </c>
      <c r="F299">
        <v>15.8</v>
      </c>
      <c r="G299">
        <v>190.5</v>
      </c>
    </row>
    <row r="300" spans="2:7" x14ac:dyDescent="0.2">
      <c r="B300">
        <v>1986</v>
      </c>
      <c r="C300">
        <v>10</v>
      </c>
      <c r="D300">
        <v>17.100000000000001</v>
      </c>
      <c r="E300">
        <v>26.6</v>
      </c>
      <c r="F300">
        <v>8</v>
      </c>
      <c r="G300">
        <v>74</v>
      </c>
    </row>
    <row r="301" spans="2:7" x14ac:dyDescent="0.2">
      <c r="B301">
        <v>1986</v>
      </c>
      <c r="C301">
        <v>11</v>
      </c>
      <c r="D301">
        <v>12.3</v>
      </c>
      <c r="E301">
        <v>21.7</v>
      </c>
      <c r="F301">
        <v>5</v>
      </c>
      <c r="G301">
        <v>41</v>
      </c>
    </row>
    <row r="302" spans="2:7" x14ac:dyDescent="0.2">
      <c r="B302">
        <v>1986</v>
      </c>
      <c r="C302">
        <v>12</v>
      </c>
      <c r="D302">
        <v>8.5</v>
      </c>
      <c r="E302">
        <v>17.8</v>
      </c>
      <c r="F302">
        <v>0.5</v>
      </c>
      <c r="G302">
        <v>115.5</v>
      </c>
    </row>
    <row r="303" spans="2:7" x14ac:dyDescent="0.2">
      <c r="B303">
        <v>1987</v>
      </c>
      <c r="C303">
        <v>1</v>
      </c>
      <c r="D303">
        <v>5.8</v>
      </c>
      <c r="E303">
        <v>18</v>
      </c>
      <c r="F303">
        <v>-0.4</v>
      </c>
      <c r="G303">
        <v>38</v>
      </c>
    </row>
    <row r="304" spans="2:7" x14ac:dyDescent="0.2">
      <c r="B304">
        <v>1987</v>
      </c>
      <c r="C304">
        <v>2</v>
      </c>
      <c r="D304">
        <v>6.8</v>
      </c>
      <c r="E304">
        <v>23</v>
      </c>
      <c r="F304">
        <v>-0.7</v>
      </c>
      <c r="G304">
        <v>29.5</v>
      </c>
    </row>
    <row r="305" spans="2:7" x14ac:dyDescent="0.2">
      <c r="B305">
        <v>1987</v>
      </c>
      <c r="C305">
        <v>3</v>
      </c>
      <c r="D305">
        <v>9.3000000000000007</v>
      </c>
      <c r="E305">
        <v>20.5</v>
      </c>
      <c r="F305">
        <v>0</v>
      </c>
      <c r="G305">
        <v>94</v>
      </c>
    </row>
    <row r="306" spans="2:7" x14ac:dyDescent="0.2">
      <c r="B306">
        <v>1987</v>
      </c>
      <c r="C306">
        <v>4</v>
      </c>
      <c r="D306">
        <v>14.4</v>
      </c>
      <c r="E306">
        <v>26.6</v>
      </c>
      <c r="F306">
        <v>2.2000000000000002</v>
      </c>
      <c r="G306">
        <v>42.5</v>
      </c>
    </row>
    <row r="307" spans="2:7" x14ac:dyDescent="0.2">
      <c r="B307">
        <v>1987</v>
      </c>
      <c r="C307">
        <v>5</v>
      </c>
      <c r="D307">
        <v>19.3</v>
      </c>
      <c r="E307">
        <v>27.9</v>
      </c>
      <c r="F307">
        <v>9.1999999999999993</v>
      </c>
      <c r="G307">
        <v>65</v>
      </c>
    </row>
    <row r="308" spans="2:7" x14ac:dyDescent="0.2">
      <c r="B308">
        <v>1987</v>
      </c>
      <c r="C308">
        <v>6</v>
      </c>
      <c r="D308">
        <v>22.1</v>
      </c>
      <c r="E308">
        <v>32.299999999999997</v>
      </c>
      <c r="F308">
        <v>15.3</v>
      </c>
      <c r="G308">
        <v>120.5</v>
      </c>
    </row>
    <row r="309" spans="2:7" x14ac:dyDescent="0.2">
      <c r="B309">
        <v>1987</v>
      </c>
      <c r="C309">
        <v>7</v>
      </c>
      <c r="D309">
        <v>27</v>
      </c>
      <c r="E309">
        <v>37.299999999999997</v>
      </c>
      <c r="F309">
        <v>19.100000000000001</v>
      </c>
      <c r="G309">
        <v>146.5</v>
      </c>
    </row>
    <row r="310" spans="2:7" x14ac:dyDescent="0.2">
      <c r="B310">
        <v>1987</v>
      </c>
      <c r="C310">
        <v>8</v>
      </c>
      <c r="D310">
        <v>27.3</v>
      </c>
      <c r="E310">
        <v>34</v>
      </c>
      <c r="F310">
        <v>20.5</v>
      </c>
      <c r="G310">
        <v>45.5</v>
      </c>
    </row>
    <row r="311" spans="2:7" x14ac:dyDescent="0.2">
      <c r="B311">
        <v>1987</v>
      </c>
      <c r="C311">
        <v>9</v>
      </c>
      <c r="D311">
        <v>23.3</v>
      </c>
      <c r="E311">
        <v>34.799999999999997</v>
      </c>
      <c r="F311">
        <v>15.5</v>
      </c>
      <c r="G311">
        <v>214.5</v>
      </c>
    </row>
    <row r="312" spans="2:7" x14ac:dyDescent="0.2">
      <c r="B312">
        <v>1987</v>
      </c>
      <c r="C312">
        <v>10</v>
      </c>
      <c r="D312">
        <v>18.899999999999999</v>
      </c>
      <c r="E312">
        <v>28.2</v>
      </c>
      <c r="F312">
        <v>12.3</v>
      </c>
      <c r="G312">
        <v>193</v>
      </c>
    </row>
    <row r="313" spans="2:7" x14ac:dyDescent="0.2">
      <c r="B313">
        <v>1987</v>
      </c>
      <c r="C313">
        <v>11</v>
      </c>
      <c r="D313">
        <v>12.8</v>
      </c>
      <c r="E313">
        <v>25.6</v>
      </c>
      <c r="F313">
        <v>3.9</v>
      </c>
      <c r="G313">
        <v>39.5</v>
      </c>
    </row>
    <row r="314" spans="2:7" x14ac:dyDescent="0.2">
      <c r="B314">
        <v>1987</v>
      </c>
      <c r="C314">
        <v>12</v>
      </c>
      <c r="D314">
        <v>8.1</v>
      </c>
      <c r="E314">
        <v>21.5</v>
      </c>
      <c r="F314">
        <v>0.3</v>
      </c>
      <c r="G314">
        <v>60.5</v>
      </c>
    </row>
    <row r="315" spans="2:7" x14ac:dyDescent="0.2">
      <c r="B315">
        <v>1988</v>
      </c>
      <c r="C315">
        <v>1</v>
      </c>
      <c r="D315">
        <v>7.7</v>
      </c>
      <c r="E315">
        <v>16.899999999999999</v>
      </c>
      <c r="F315">
        <v>0.6</v>
      </c>
      <c r="G315">
        <v>28</v>
      </c>
    </row>
    <row r="316" spans="2:7" x14ac:dyDescent="0.2">
      <c r="B316">
        <v>1988</v>
      </c>
      <c r="C316">
        <v>2</v>
      </c>
      <c r="D316">
        <v>4.9000000000000004</v>
      </c>
      <c r="E316">
        <v>19.7</v>
      </c>
      <c r="F316">
        <v>-1.7</v>
      </c>
      <c r="G316">
        <v>17.5</v>
      </c>
    </row>
    <row r="317" spans="2:7" x14ac:dyDescent="0.2">
      <c r="B317">
        <v>1988</v>
      </c>
      <c r="C317">
        <v>3</v>
      </c>
      <c r="D317">
        <v>8.4</v>
      </c>
      <c r="E317">
        <v>21.3</v>
      </c>
      <c r="F317">
        <v>1.3</v>
      </c>
      <c r="G317">
        <v>185</v>
      </c>
    </row>
    <row r="318" spans="2:7" x14ac:dyDescent="0.2">
      <c r="B318">
        <v>1988</v>
      </c>
      <c r="C318">
        <v>4</v>
      </c>
      <c r="D318">
        <v>14.3</v>
      </c>
      <c r="E318">
        <v>27.7</v>
      </c>
      <c r="F318">
        <v>0.7</v>
      </c>
      <c r="G318">
        <v>107.5</v>
      </c>
    </row>
    <row r="319" spans="2:7" x14ac:dyDescent="0.2">
      <c r="B319">
        <v>1988</v>
      </c>
      <c r="C319">
        <v>5</v>
      </c>
      <c r="D319">
        <v>18.2</v>
      </c>
      <c r="E319">
        <v>29.2</v>
      </c>
      <c r="F319">
        <v>9.8000000000000007</v>
      </c>
      <c r="G319">
        <v>144</v>
      </c>
    </row>
    <row r="320" spans="2:7" x14ac:dyDescent="0.2">
      <c r="B320">
        <v>1988</v>
      </c>
      <c r="C320">
        <v>6</v>
      </c>
      <c r="D320">
        <v>22.3</v>
      </c>
      <c r="E320">
        <v>29.9</v>
      </c>
      <c r="F320">
        <v>17.2</v>
      </c>
      <c r="G320">
        <v>198</v>
      </c>
    </row>
    <row r="321" spans="2:7" x14ac:dyDescent="0.2">
      <c r="B321">
        <v>1988</v>
      </c>
      <c r="C321">
        <v>7</v>
      </c>
      <c r="D321">
        <v>22.4</v>
      </c>
      <c r="E321">
        <v>32.6</v>
      </c>
      <c r="F321">
        <v>17.2</v>
      </c>
      <c r="G321">
        <v>158</v>
      </c>
    </row>
    <row r="322" spans="2:7" x14ac:dyDescent="0.2">
      <c r="B322">
        <v>1988</v>
      </c>
      <c r="C322">
        <v>8</v>
      </c>
      <c r="D322">
        <v>27</v>
      </c>
      <c r="E322">
        <v>32.9</v>
      </c>
      <c r="F322">
        <v>21.6</v>
      </c>
      <c r="G322">
        <v>341.5</v>
      </c>
    </row>
    <row r="323" spans="2:7" x14ac:dyDescent="0.2">
      <c r="B323">
        <v>1988</v>
      </c>
      <c r="C323">
        <v>9</v>
      </c>
      <c r="D323">
        <v>22.8</v>
      </c>
      <c r="E323">
        <v>31.2</v>
      </c>
      <c r="F323">
        <v>17.5</v>
      </c>
      <c r="G323">
        <v>251.5</v>
      </c>
    </row>
    <row r="324" spans="2:7" x14ac:dyDescent="0.2">
      <c r="B324">
        <v>1988</v>
      </c>
      <c r="C324">
        <v>10</v>
      </c>
      <c r="D324">
        <v>17.5</v>
      </c>
      <c r="E324">
        <v>24.9</v>
      </c>
      <c r="F324">
        <v>8.8000000000000007</v>
      </c>
      <c r="G324">
        <v>58.5</v>
      </c>
    </row>
    <row r="325" spans="2:7" x14ac:dyDescent="0.2">
      <c r="B325">
        <v>1988</v>
      </c>
      <c r="C325">
        <v>11</v>
      </c>
      <c r="D325">
        <v>11.4</v>
      </c>
      <c r="E325">
        <v>22.5</v>
      </c>
      <c r="F325">
        <v>2.4</v>
      </c>
      <c r="G325">
        <v>26</v>
      </c>
    </row>
    <row r="326" spans="2:7" x14ac:dyDescent="0.2">
      <c r="B326">
        <v>1988</v>
      </c>
      <c r="C326">
        <v>12</v>
      </c>
      <c r="D326">
        <v>8.4</v>
      </c>
      <c r="E326">
        <v>17.899999999999999</v>
      </c>
      <c r="F326">
        <v>0.8</v>
      </c>
      <c r="G326">
        <v>0</v>
      </c>
    </row>
    <row r="327" spans="2:7" x14ac:dyDescent="0.2">
      <c r="B327">
        <v>1989</v>
      </c>
      <c r="C327">
        <v>1</v>
      </c>
      <c r="D327">
        <v>8.1</v>
      </c>
      <c r="E327">
        <v>19.2</v>
      </c>
      <c r="F327">
        <v>0.9</v>
      </c>
      <c r="G327">
        <v>95</v>
      </c>
    </row>
    <row r="328" spans="2:7" x14ac:dyDescent="0.2">
      <c r="B328">
        <v>1989</v>
      </c>
      <c r="C328">
        <v>2</v>
      </c>
      <c r="D328">
        <v>7.5</v>
      </c>
      <c r="E328">
        <v>17.2</v>
      </c>
      <c r="F328">
        <v>1.9</v>
      </c>
      <c r="G328">
        <v>107</v>
      </c>
    </row>
    <row r="329" spans="2:7" x14ac:dyDescent="0.2">
      <c r="B329">
        <v>1989</v>
      </c>
      <c r="C329">
        <v>3</v>
      </c>
      <c r="D329">
        <v>9.6</v>
      </c>
      <c r="E329">
        <v>20.2</v>
      </c>
      <c r="F329">
        <v>1.7</v>
      </c>
      <c r="G329">
        <v>118</v>
      </c>
    </row>
    <row r="330" spans="2:7" x14ac:dyDescent="0.2">
      <c r="B330">
        <v>1989</v>
      </c>
      <c r="C330">
        <v>4</v>
      </c>
      <c r="D330">
        <v>15.6</v>
      </c>
      <c r="E330">
        <v>24</v>
      </c>
      <c r="F330">
        <v>7.5</v>
      </c>
      <c r="G330">
        <v>187</v>
      </c>
    </row>
    <row r="331" spans="2:7" x14ac:dyDescent="0.2">
      <c r="B331">
        <v>1989</v>
      </c>
      <c r="C331">
        <v>5</v>
      </c>
      <c r="D331">
        <v>17.7</v>
      </c>
      <c r="E331">
        <v>25.4</v>
      </c>
      <c r="F331">
        <v>10.1</v>
      </c>
      <c r="G331">
        <v>210</v>
      </c>
    </row>
    <row r="332" spans="2:7" x14ac:dyDescent="0.2">
      <c r="B332">
        <v>1989</v>
      </c>
      <c r="C332">
        <v>6</v>
      </c>
      <c r="D332">
        <v>20.7</v>
      </c>
      <c r="E332">
        <v>31.1</v>
      </c>
      <c r="F332">
        <v>11.7</v>
      </c>
      <c r="G332">
        <v>205</v>
      </c>
    </row>
    <row r="333" spans="2:7" x14ac:dyDescent="0.2">
      <c r="B333">
        <v>1989</v>
      </c>
      <c r="C333">
        <v>7</v>
      </c>
      <c r="D333">
        <v>24.1</v>
      </c>
      <c r="E333">
        <v>31.5</v>
      </c>
      <c r="F333">
        <v>15.1</v>
      </c>
      <c r="G333">
        <v>154</v>
      </c>
    </row>
    <row r="334" spans="2:7" x14ac:dyDescent="0.2">
      <c r="B334">
        <v>1989</v>
      </c>
      <c r="C334">
        <v>8</v>
      </c>
      <c r="D334">
        <v>27.1</v>
      </c>
      <c r="E334">
        <v>33.5</v>
      </c>
      <c r="F334">
        <v>21.8</v>
      </c>
      <c r="G334">
        <v>360.5</v>
      </c>
    </row>
    <row r="335" spans="2:7" x14ac:dyDescent="0.2">
      <c r="B335">
        <v>1989</v>
      </c>
      <c r="C335">
        <v>9</v>
      </c>
      <c r="D335">
        <v>25.2</v>
      </c>
      <c r="E335">
        <v>32.299999999999997</v>
      </c>
      <c r="F335">
        <v>18.100000000000001</v>
      </c>
      <c r="G335">
        <v>204</v>
      </c>
    </row>
    <row r="336" spans="2:7" x14ac:dyDescent="0.2">
      <c r="B336">
        <v>1989</v>
      </c>
      <c r="C336">
        <v>10</v>
      </c>
      <c r="D336">
        <v>17.5</v>
      </c>
      <c r="E336">
        <v>25.9</v>
      </c>
      <c r="F336">
        <v>11.2</v>
      </c>
      <c r="G336">
        <v>197</v>
      </c>
    </row>
    <row r="337" spans="2:7" x14ac:dyDescent="0.2">
      <c r="B337">
        <v>1989</v>
      </c>
      <c r="C337">
        <v>11</v>
      </c>
      <c r="D337">
        <v>14.2</v>
      </c>
      <c r="E337">
        <v>22.5</v>
      </c>
      <c r="F337">
        <v>5.8</v>
      </c>
      <c r="G337">
        <v>71</v>
      </c>
    </row>
    <row r="338" spans="2:7" x14ac:dyDescent="0.2">
      <c r="B338">
        <v>1989</v>
      </c>
      <c r="C338">
        <v>12</v>
      </c>
      <c r="D338">
        <v>9.1999999999999993</v>
      </c>
      <c r="E338">
        <v>20.100000000000001</v>
      </c>
      <c r="F338">
        <v>2.4</v>
      </c>
      <c r="G338">
        <v>29</v>
      </c>
    </row>
    <row r="339" spans="2:7" x14ac:dyDescent="0.2">
      <c r="B339">
        <v>1990</v>
      </c>
      <c r="C339">
        <v>1</v>
      </c>
      <c r="D339">
        <v>5</v>
      </c>
      <c r="E339">
        <v>16.3</v>
      </c>
      <c r="F339">
        <v>-1.4</v>
      </c>
      <c r="G339">
        <v>32.5</v>
      </c>
    </row>
    <row r="340" spans="2:7" x14ac:dyDescent="0.2">
      <c r="B340">
        <v>1990</v>
      </c>
      <c r="C340">
        <v>2</v>
      </c>
      <c r="D340">
        <v>7.8</v>
      </c>
      <c r="E340">
        <v>19.399999999999999</v>
      </c>
      <c r="F340">
        <v>0.1</v>
      </c>
      <c r="G340">
        <v>116.5</v>
      </c>
    </row>
    <row r="341" spans="2:7" x14ac:dyDescent="0.2">
      <c r="B341">
        <v>1990</v>
      </c>
      <c r="C341">
        <v>3</v>
      </c>
      <c r="D341">
        <v>10.6</v>
      </c>
      <c r="E341">
        <v>21.3</v>
      </c>
      <c r="F341">
        <v>4.3</v>
      </c>
      <c r="G341">
        <v>97.5</v>
      </c>
    </row>
    <row r="342" spans="2:7" x14ac:dyDescent="0.2">
      <c r="B342">
        <v>1990</v>
      </c>
      <c r="C342">
        <v>4</v>
      </c>
      <c r="D342">
        <v>14.7</v>
      </c>
      <c r="E342">
        <v>24.2</v>
      </c>
      <c r="F342">
        <v>6.1</v>
      </c>
      <c r="G342">
        <v>137.5</v>
      </c>
    </row>
    <row r="343" spans="2:7" x14ac:dyDescent="0.2">
      <c r="B343">
        <v>1990</v>
      </c>
      <c r="C343">
        <v>5</v>
      </c>
      <c r="D343">
        <v>19.2</v>
      </c>
      <c r="E343">
        <v>28.4</v>
      </c>
      <c r="F343">
        <v>11</v>
      </c>
      <c r="G343">
        <v>120.5</v>
      </c>
    </row>
    <row r="344" spans="2:7" x14ac:dyDescent="0.2">
      <c r="B344">
        <v>1990</v>
      </c>
      <c r="C344">
        <v>6</v>
      </c>
      <c r="D344">
        <v>23.5</v>
      </c>
      <c r="E344">
        <v>34.1</v>
      </c>
      <c r="F344">
        <v>16.399999999999999</v>
      </c>
      <c r="G344">
        <v>68</v>
      </c>
    </row>
    <row r="345" spans="2:7" x14ac:dyDescent="0.2">
      <c r="B345">
        <v>1990</v>
      </c>
      <c r="C345">
        <v>7</v>
      </c>
      <c r="D345">
        <v>25.7</v>
      </c>
      <c r="E345">
        <v>34.6</v>
      </c>
      <c r="F345">
        <v>17.899999999999999</v>
      </c>
      <c r="G345">
        <v>51</v>
      </c>
    </row>
    <row r="346" spans="2:7" x14ac:dyDescent="0.2">
      <c r="B346">
        <v>1990</v>
      </c>
      <c r="C346">
        <v>8</v>
      </c>
      <c r="D346">
        <v>28.6</v>
      </c>
      <c r="E346">
        <v>35.9</v>
      </c>
      <c r="F346">
        <v>22.6</v>
      </c>
      <c r="G346">
        <v>181.5</v>
      </c>
    </row>
    <row r="347" spans="2:7" x14ac:dyDescent="0.2">
      <c r="B347">
        <v>1990</v>
      </c>
      <c r="C347">
        <v>9</v>
      </c>
      <c r="D347">
        <v>24.8</v>
      </c>
      <c r="E347">
        <v>34</v>
      </c>
      <c r="F347">
        <v>16.8</v>
      </c>
      <c r="G347">
        <v>287</v>
      </c>
    </row>
    <row r="348" spans="2:7" x14ac:dyDescent="0.2">
      <c r="B348">
        <v>1990</v>
      </c>
      <c r="C348">
        <v>10</v>
      </c>
      <c r="D348">
        <v>19.2</v>
      </c>
      <c r="E348">
        <v>28.2</v>
      </c>
      <c r="F348">
        <v>11.6</v>
      </c>
      <c r="G348">
        <v>148.5</v>
      </c>
    </row>
    <row r="349" spans="2:7" x14ac:dyDescent="0.2">
      <c r="B349">
        <v>1990</v>
      </c>
      <c r="C349">
        <v>11</v>
      </c>
      <c r="D349">
        <v>15.1</v>
      </c>
      <c r="E349">
        <v>25.7</v>
      </c>
      <c r="F349">
        <v>5.8</v>
      </c>
      <c r="G349">
        <v>234</v>
      </c>
    </row>
    <row r="350" spans="2:7" x14ac:dyDescent="0.2">
      <c r="B350">
        <v>1990</v>
      </c>
      <c r="C350">
        <v>12</v>
      </c>
      <c r="D350">
        <v>10</v>
      </c>
      <c r="E350">
        <v>23.5</v>
      </c>
      <c r="F350">
        <v>3.1</v>
      </c>
      <c r="G350">
        <v>38</v>
      </c>
    </row>
    <row r="351" spans="2:7" x14ac:dyDescent="0.2">
      <c r="B351">
        <v>1991</v>
      </c>
      <c r="C351">
        <v>1</v>
      </c>
      <c r="D351">
        <v>6.3</v>
      </c>
      <c r="E351">
        <v>14.4</v>
      </c>
      <c r="F351">
        <v>0.1</v>
      </c>
      <c r="G351">
        <v>55</v>
      </c>
    </row>
    <row r="352" spans="2:7" x14ac:dyDescent="0.2">
      <c r="B352">
        <v>1991</v>
      </c>
      <c r="C352">
        <v>2</v>
      </c>
      <c r="D352">
        <v>6.5</v>
      </c>
      <c r="E352">
        <v>16.600000000000001</v>
      </c>
      <c r="F352">
        <v>-0.8</v>
      </c>
      <c r="G352">
        <v>69</v>
      </c>
    </row>
    <row r="353" spans="2:7" x14ac:dyDescent="0.2">
      <c r="B353">
        <v>1991</v>
      </c>
      <c r="C353">
        <v>3</v>
      </c>
      <c r="D353">
        <v>9.5</v>
      </c>
      <c r="E353">
        <v>22.3</v>
      </c>
      <c r="F353">
        <v>1.6</v>
      </c>
      <c r="G353">
        <v>164</v>
      </c>
    </row>
    <row r="354" spans="2:7" x14ac:dyDescent="0.2">
      <c r="B354">
        <v>1991</v>
      </c>
      <c r="C354">
        <v>4</v>
      </c>
      <c r="D354">
        <v>15.4</v>
      </c>
      <c r="E354">
        <v>24.7</v>
      </c>
      <c r="F354">
        <v>5</v>
      </c>
      <c r="G354">
        <v>112.5</v>
      </c>
    </row>
    <row r="355" spans="2:7" x14ac:dyDescent="0.2">
      <c r="B355">
        <v>1991</v>
      </c>
      <c r="C355">
        <v>5</v>
      </c>
      <c r="D355">
        <v>18.8</v>
      </c>
      <c r="E355">
        <v>27.9</v>
      </c>
      <c r="F355">
        <v>7.8</v>
      </c>
      <c r="G355">
        <v>61</v>
      </c>
    </row>
    <row r="356" spans="2:7" x14ac:dyDescent="0.2">
      <c r="B356">
        <v>1991</v>
      </c>
      <c r="C356">
        <v>6</v>
      </c>
      <c r="D356">
        <v>23.6</v>
      </c>
      <c r="E356">
        <v>34.200000000000003</v>
      </c>
      <c r="F356">
        <v>16.7</v>
      </c>
      <c r="G356">
        <v>142</v>
      </c>
    </row>
    <row r="357" spans="2:7" x14ac:dyDescent="0.2">
      <c r="B357">
        <v>1991</v>
      </c>
      <c r="C357">
        <v>7</v>
      </c>
      <c r="D357">
        <v>26.7</v>
      </c>
      <c r="E357">
        <v>35.6</v>
      </c>
      <c r="F357">
        <v>20.100000000000001</v>
      </c>
      <c r="G357">
        <v>72</v>
      </c>
    </row>
    <row r="358" spans="2:7" x14ac:dyDescent="0.2">
      <c r="B358">
        <v>1991</v>
      </c>
      <c r="C358">
        <v>8</v>
      </c>
      <c r="D358">
        <v>25.5</v>
      </c>
      <c r="E358">
        <v>35.200000000000003</v>
      </c>
      <c r="F358">
        <v>19.600000000000001</v>
      </c>
      <c r="G358">
        <v>238</v>
      </c>
    </row>
    <row r="359" spans="2:7" x14ac:dyDescent="0.2">
      <c r="B359">
        <v>1991</v>
      </c>
      <c r="C359">
        <v>9</v>
      </c>
      <c r="D359">
        <v>23.9</v>
      </c>
      <c r="E359">
        <v>32.200000000000003</v>
      </c>
      <c r="F359">
        <v>16.899999999999999</v>
      </c>
      <c r="G359">
        <v>445.5</v>
      </c>
    </row>
    <row r="360" spans="2:7" x14ac:dyDescent="0.2">
      <c r="B360">
        <v>1991</v>
      </c>
      <c r="C360">
        <v>10</v>
      </c>
      <c r="D360">
        <v>18.100000000000001</v>
      </c>
      <c r="E360">
        <v>28.1</v>
      </c>
      <c r="F360">
        <v>12.3</v>
      </c>
      <c r="G360">
        <v>533</v>
      </c>
    </row>
    <row r="361" spans="2:7" x14ac:dyDescent="0.2">
      <c r="B361">
        <v>1991</v>
      </c>
      <c r="C361">
        <v>11</v>
      </c>
      <c r="D361">
        <v>13</v>
      </c>
      <c r="E361">
        <v>19.899999999999999</v>
      </c>
      <c r="F361">
        <v>4.7</v>
      </c>
      <c r="G361">
        <v>114</v>
      </c>
    </row>
    <row r="362" spans="2:7" x14ac:dyDescent="0.2">
      <c r="B362">
        <v>1991</v>
      </c>
      <c r="C362">
        <v>12</v>
      </c>
      <c r="D362">
        <v>9.1999999999999993</v>
      </c>
      <c r="E362">
        <v>18.8</v>
      </c>
      <c r="F362">
        <v>0.9</v>
      </c>
      <c r="G362">
        <v>36</v>
      </c>
    </row>
    <row r="363" spans="2:7" x14ac:dyDescent="0.2">
      <c r="B363">
        <v>1992</v>
      </c>
      <c r="C363">
        <v>1</v>
      </c>
      <c r="D363">
        <v>6.8</v>
      </c>
      <c r="E363">
        <v>15.1</v>
      </c>
      <c r="F363">
        <v>0.3</v>
      </c>
      <c r="G363">
        <v>50</v>
      </c>
    </row>
    <row r="364" spans="2:7" x14ac:dyDescent="0.2">
      <c r="B364">
        <v>1992</v>
      </c>
      <c r="C364">
        <v>2</v>
      </c>
      <c r="D364">
        <v>6.9</v>
      </c>
      <c r="E364">
        <v>20.100000000000001</v>
      </c>
      <c r="F364">
        <v>-0.5</v>
      </c>
      <c r="G364">
        <v>36</v>
      </c>
    </row>
    <row r="365" spans="2:7" x14ac:dyDescent="0.2">
      <c r="B365">
        <v>1992</v>
      </c>
      <c r="C365">
        <v>3</v>
      </c>
      <c r="D365">
        <v>9.6999999999999993</v>
      </c>
      <c r="E365">
        <v>21.7</v>
      </c>
      <c r="F365">
        <v>1.7</v>
      </c>
      <c r="G365">
        <v>205</v>
      </c>
    </row>
    <row r="366" spans="2:7" x14ac:dyDescent="0.2">
      <c r="B366">
        <v>1992</v>
      </c>
      <c r="C366">
        <v>4</v>
      </c>
      <c r="D366">
        <v>15.1</v>
      </c>
      <c r="E366">
        <v>24.1</v>
      </c>
      <c r="F366">
        <v>5.0999999999999996</v>
      </c>
      <c r="G366">
        <v>167.5</v>
      </c>
    </row>
    <row r="367" spans="2:7" x14ac:dyDescent="0.2">
      <c r="B367">
        <v>1992</v>
      </c>
      <c r="C367">
        <v>5</v>
      </c>
      <c r="D367">
        <v>17.3</v>
      </c>
      <c r="E367">
        <v>27.8</v>
      </c>
      <c r="F367">
        <v>9.3000000000000007</v>
      </c>
      <c r="G367">
        <v>134</v>
      </c>
    </row>
    <row r="368" spans="2:7" x14ac:dyDescent="0.2">
      <c r="B368">
        <v>1992</v>
      </c>
      <c r="C368">
        <v>6</v>
      </c>
      <c r="D368">
        <v>20.6</v>
      </c>
      <c r="E368">
        <v>28</v>
      </c>
      <c r="F368">
        <v>14.2</v>
      </c>
      <c r="G368">
        <v>237</v>
      </c>
    </row>
    <row r="369" spans="2:7" x14ac:dyDescent="0.2">
      <c r="B369">
        <v>1992</v>
      </c>
      <c r="C369">
        <v>7</v>
      </c>
      <c r="D369">
        <v>25.5</v>
      </c>
      <c r="E369">
        <v>34.700000000000003</v>
      </c>
      <c r="F369">
        <v>17</v>
      </c>
      <c r="G369">
        <v>111.5</v>
      </c>
    </row>
    <row r="370" spans="2:7" x14ac:dyDescent="0.2">
      <c r="B370">
        <v>1992</v>
      </c>
      <c r="C370">
        <v>8</v>
      </c>
      <c r="D370">
        <v>27</v>
      </c>
      <c r="E370">
        <v>34.200000000000003</v>
      </c>
      <c r="F370">
        <v>18.899999999999999</v>
      </c>
      <c r="G370">
        <v>9</v>
      </c>
    </row>
    <row r="371" spans="2:7" x14ac:dyDescent="0.2">
      <c r="B371">
        <v>1992</v>
      </c>
      <c r="C371">
        <v>9</v>
      </c>
      <c r="D371">
        <v>23.3</v>
      </c>
      <c r="E371">
        <v>35.200000000000003</v>
      </c>
      <c r="F371">
        <v>14.1</v>
      </c>
      <c r="G371">
        <v>108</v>
      </c>
    </row>
    <row r="372" spans="2:7" x14ac:dyDescent="0.2">
      <c r="B372">
        <v>1992</v>
      </c>
      <c r="C372">
        <v>10</v>
      </c>
      <c r="D372">
        <v>17.3</v>
      </c>
      <c r="E372">
        <v>27.3</v>
      </c>
      <c r="F372">
        <v>10.1</v>
      </c>
      <c r="G372">
        <v>328</v>
      </c>
    </row>
    <row r="373" spans="2:7" x14ac:dyDescent="0.2">
      <c r="B373">
        <v>1992</v>
      </c>
      <c r="C373">
        <v>11</v>
      </c>
      <c r="D373">
        <v>13</v>
      </c>
      <c r="E373">
        <v>22.5</v>
      </c>
      <c r="F373">
        <v>4.4000000000000004</v>
      </c>
      <c r="G373">
        <v>168</v>
      </c>
    </row>
    <row r="374" spans="2:7" x14ac:dyDescent="0.2">
      <c r="B374">
        <v>1992</v>
      </c>
      <c r="C374">
        <v>12</v>
      </c>
      <c r="D374">
        <v>9.4</v>
      </c>
      <c r="E374">
        <v>20.6</v>
      </c>
      <c r="F374">
        <v>1</v>
      </c>
      <c r="G374">
        <v>65.5</v>
      </c>
    </row>
    <row r="375" spans="2:7" x14ac:dyDescent="0.2">
      <c r="B375">
        <v>1993</v>
      </c>
      <c r="C375">
        <v>1</v>
      </c>
      <c r="D375">
        <v>6.2</v>
      </c>
      <c r="E375">
        <v>12.9</v>
      </c>
      <c r="F375">
        <v>1.2</v>
      </c>
      <c r="G375">
        <v>115</v>
      </c>
    </row>
    <row r="376" spans="2:7" x14ac:dyDescent="0.2">
      <c r="B376">
        <v>1993</v>
      </c>
      <c r="C376">
        <v>2</v>
      </c>
      <c r="D376">
        <v>7.7</v>
      </c>
      <c r="E376">
        <v>21.9</v>
      </c>
      <c r="F376">
        <v>0.7</v>
      </c>
      <c r="G376">
        <v>57</v>
      </c>
    </row>
    <row r="377" spans="2:7" x14ac:dyDescent="0.2">
      <c r="B377">
        <v>1993</v>
      </c>
      <c r="C377">
        <v>3</v>
      </c>
      <c r="D377">
        <v>8.6999999999999993</v>
      </c>
      <c r="E377">
        <v>18.3</v>
      </c>
      <c r="F377">
        <v>1.5</v>
      </c>
      <c r="G377">
        <v>60.5</v>
      </c>
    </row>
    <row r="378" spans="2:7" x14ac:dyDescent="0.2">
      <c r="B378">
        <v>1993</v>
      </c>
      <c r="C378">
        <v>4</v>
      </c>
      <c r="D378">
        <v>13.4</v>
      </c>
      <c r="E378">
        <v>26.9</v>
      </c>
      <c r="F378">
        <v>4.8</v>
      </c>
      <c r="G378">
        <v>58</v>
      </c>
    </row>
    <row r="379" spans="2:7" x14ac:dyDescent="0.2">
      <c r="B379">
        <v>1993</v>
      </c>
      <c r="C379">
        <v>5</v>
      </c>
      <c r="D379">
        <v>18.100000000000001</v>
      </c>
      <c r="E379">
        <v>30.7</v>
      </c>
      <c r="F379">
        <v>8.3000000000000007</v>
      </c>
      <c r="G379">
        <v>65.5</v>
      </c>
    </row>
    <row r="380" spans="2:7" x14ac:dyDescent="0.2">
      <c r="B380">
        <v>1993</v>
      </c>
      <c r="C380">
        <v>6</v>
      </c>
      <c r="D380">
        <v>21.7</v>
      </c>
      <c r="E380">
        <v>31.9</v>
      </c>
      <c r="F380">
        <v>14.3</v>
      </c>
      <c r="G380">
        <v>260</v>
      </c>
    </row>
    <row r="381" spans="2:7" x14ac:dyDescent="0.2">
      <c r="B381">
        <v>1993</v>
      </c>
      <c r="C381">
        <v>7</v>
      </c>
      <c r="D381">
        <v>22.5</v>
      </c>
      <c r="E381">
        <v>32.299999999999997</v>
      </c>
      <c r="F381">
        <v>16.399999999999999</v>
      </c>
      <c r="G381">
        <v>316.5</v>
      </c>
    </row>
    <row r="382" spans="2:7" x14ac:dyDescent="0.2">
      <c r="B382">
        <v>1993</v>
      </c>
      <c r="C382">
        <v>8</v>
      </c>
      <c r="D382">
        <v>24.8</v>
      </c>
      <c r="E382">
        <v>32.9</v>
      </c>
      <c r="F382">
        <v>18.399999999999999</v>
      </c>
      <c r="G382">
        <v>412</v>
      </c>
    </row>
    <row r="383" spans="2:7" x14ac:dyDescent="0.2">
      <c r="B383">
        <v>1993</v>
      </c>
      <c r="C383">
        <v>9</v>
      </c>
      <c r="D383">
        <v>22.9</v>
      </c>
      <c r="E383">
        <v>32.1</v>
      </c>
      <c r="F383">
        <v>14.9</v>
      </c>
      <c r="G383">
        <v>140</v>
      </c>
    </row>
    <row r="384" spans="2:7" x14ac:dyDescent="0.2">
      <c r="B384">
        <v>1993</v>
      </c>
      <c r="C384">
        <v>10</v>
      </c>
      <c r="D384">
        <v>17.5</v>
      </c>
      <c r="E384">
        <v>25.3</v>
      </c>
      <c r="F384">
        <v>8.6</v>
      </c>
      <c r="G384">
        <v>156</v>
      </c>
    </row>
    <row r="385" spans="2:7" x14ac:dyDescent="0.2">
      <c r="B385">
        <v>1993</v>
      </c>
      <c r="C385">
        <v>11</v>
      </c>
      <c r="D385">
        <v>14.1</v>
      </c>
      <c r="E385">
        <v>24</v>
      </c>
      <c r="F385">
        <v>5.2</v>
      </c>
      <c r="G385">
        <v>167</v>
      </c>
    </row>
    <row r="386" spans="2:7" x14ac:dyDescent="0.2">
      <c r="B386">
        <v>1993</v>
      </c>
      <c r="C386">
        <v>12</v>
      </c>
      <c r="D386">
        <v>8.5</v>
      </c>
      <c r="E386">
        <v>21.1</v>
      </c>
      <c r="F386">
        <v>0.7</v>
      </c>
      <c r="G386">
        <v>65</v>
      </c>
    </row>
    <row r="387" spans="2:7" x14ac:dyDescent="0.2">
      <c r="B387">
        <v>1994</v>
      </c>
      <c r="C387">
        <v>1</v>
      </c>
      <c r="D387">
        <v>5.5</v>
      </c>
      <c r="E387">
        <v>16.8</v>
      </c>
      <c r="F387">
        <v>-1.3</v>
      </c>
      <c r="G387">
        <v>50</v>
      </c>
    </row>
    <row r="388" spans="2:7" x14ac:dyDescent="0.2">
      <c r="B388">
        <v>1994</v>
      </c>
      <c r="C388">
        <v>2</v>
      </c>
      <c r="D388">
        <v>6.6</v>
      </c>
      <c r="E388">
        <v>16</v>
      </c>
      <c r="F388">
        <v>-2.2999999999999998</v>
      </c>
      <c r="G388">
        <v>88.5</v>
      </c>
    </row>
    <row r="389" spans="2:7" x14ac:dyDescent="0.2">
      <c r="B389">
        <v>1994</v>
      </c>
      <c r="C389">
        <v>3</v>
      </c>
      <c r="D389">
        <v>8.1</v>
      </c>
      <c r="E389">
        <v>18.7</v>
      </c>
      <c r="F389">
        <v>2.2999999999999998</v>
      </c>
      <c r="G389">
        <v>114.5</v>
      </c>
    </row>
    <row r="390" spans="2:7" x14ac:dyDescent="0.2">
      <c r="B390">
        <v>1994</v>
      </c>
      <c r="C390">
        <v>4</v>
      </c>
      <c r="D390">
        <v>15.8</v>
      </c>
      <c r="E390">
        <v>24.4</v>
      </c>
      <c r="F390">
        <v>4.3</v>
      </c>
      <c r="G390">
        <v>49</v>
      </c>
    </row>
    <row r="391" spans="2:7" x14ac:dyDescent="0.2">
      <c r="B391">
        <v>1994</v>
      </c>
      <c r="C391">
        <v>5</v>
      </c>
      <c r="D391">
        <v>19.5</v>
      </c>
      <c r="E391">
        <v>29.3</v>
      </c>
      <c r="F391">
        <v>10.8</v>
      </c>
      <c r="G391">
        <v>133.5</v>
      </c>
    </row>
    <row r="392" spans="2:7" x14ac:dyDescent="0.2">
      <c r="B392">
        <v>1994</v>
      </c>
      <c r="C392">
        <v>6</v>
      </c>
      <c r="D392">
        <v>22.4</v>
      </c>
      <c r="E392">
        <v>31.7</v>
      </c>
      <c r="F392">
        <v>14.3</v>
      </c>
      <c r="G392">
        <v>144.5</v>
      </c>
    </row>
    <row r="393" spans="2:7" x14ac:dyDescent="0.2">
      <c r="B393">
        <v>1994</v>
      </c>
      <c r="C393">
        <v>7</v>
      </c>
      <c r="D393">
        <v>28.3</v>
      </c>
      <c r="E393">
        <v>35.6</v>
      </c>
      <c r="F393">
        <v>22.6</v>
      </c>
      <c r="G393">
        <v>93.5</v>
      </c>
    </row>
    <row r="394" spans="2:7" x14ac:dyDescent="0.2">
      <c r="B394">
        <v>1994</v>
      </c>
      <c r="C394">
        <v>8</v>
      </c>
      <c r="D394">
        <v>28.9</v>
      </c>
      <c r="E394">
        <v>39.1</v>
      </c>
      <c r="F394">
        <v>20.399999999999999</v>
      </c>
      <c r="G394">
        <v>92.5</v>
      </c>
    </row>
    <row r="395" spans="2:7" x14ac:dyDescent="0.2">
      <c r="B395">
        <v>1994</v>
      </c>
      <c r="C395">
        <v>9</v>
      </c>
      <c r="D395">
        <v>24.8</v>
      </c>
      <c r="E395">
        <v>32.9</v>
      </c>
      <c r="F395">
        <v>18.3</v>
      </c>
      <c r="G395">
        <v>235</v>
      </c>
    </row>
    <row r="396" spans="2:7" x14ac:dyDescent="0.2">
      <c r="B396">
        <v>1994</v>
      </c>
      <c r="C396">
        <v>10</v>
      </c>
      <c r="D396">
        <v>20.2</v>
      </c>
      <c r="E396">
        <v>27.9</v>
      </c>
      <c r="F396">
        <v>11.9</v>
      </c>
      <c r="G396">
        <v>57</v>
      </c>
    </row>
    <row r="397" spans="2:7" x14ac:dyDescent="0.2">
      <c r="B397">
        <v>1994</v>
      </c>
      <c r="C397">
        <v>11</v>
      </c>
      <c r="D397">
        <v>13.4</v>
      </c>
      <c r="E397">
        <v>23.9</v>
      </c>
      <c r="F397">
        <v>4.5</v>
      </c>
      <c r="G397">
        <v>50.5</v>
      </c>
    </row>
    <row r="398" spans="2:7" x14ac:dyDescent="0.2">
      <c r="B398">
        <v>1994</v>
      </c>
      <c r="C398">
        <v>12</v>
      </c>
      <c r="D398">
        <v>9</v>
      </c>
      <c r="E398">
        <v>17.7</v>
      </c>
      <c r="F398">
        <v>1.4</v>
      </c>
      <c r="G398">
        <v>23</v>
      </c>
    </row>
    <row r="399" spans="2:7" x14ac:dyDescent="0.2">
      <c r="B399">
        <v>1995</v>
      </c>
      <c r="C399">
        <v>1</v>
      </c>
      <c r="D399">
        <v>6.3</v>
      </c>
      <c r="E399">
        <v>16.100000000000001</v>
      </c>
      <c r="F399">
        <v>-1.2</v>
      </c>
      <c r="G399">
        <v>36</v>
      </c>
    </row>
    <row r="400" spans="2:7" x14ac:dyDescent="0.2">
      <c r="B400">
        <v>1995</v>
      </c>
      <c r="C400">
        <v>2</v>
      </c>
      <c r="D400">
        <v>6.5</v>
      </c>
      <c r="E400">
        <v>13.9</v>
      </c>
      <c r="F400">
        <v>0.1</v>
      </c>
      <c r="G400">
        <v>27</v>
      </c>
    </row>
    <row r="401" spans="2:7" x14ac:dyDescent="0.2">
      <c r="B401">
        <v>1995</v>
      </c>
      <c r="C401">
        <v>3</v>
      </c>
      <c r="D401">
        <v>8.9</v>
      </c>
      <c r="E401">
        <v>19.899999999999999</v>
      </c>
      <c r="F401">
        <v>1</v>
      </c>
      <c r="G401">
        <v>180</v>
      </c>
    </row>
    <row r="402" spans="2:7" x14ac:dyDescent="0.2">
      <c r="B402">
        <v>1995</v>
      </c>
      <c r="C402">
        <v>4</v>
      </c>
      <c r="D402">
        <v>15</v>
      </c>
      <c r="E402">
        <v>25.5</v>
      </c>
      <c r="F402">
        <v>4.9000000000000004</v>
      </c>
      <c r="G402">
        <v>99.5</v>
      </c>
    </row>
    <row r="403" spans="2:7" x14ac:dyDescent="0.2">
      <c r="B403">
        <v>1995</v>
      </c>
      <c r="C403">
        <v>5</v>
      </c>
      <c r="D403">
        <v>19.100000000000001</v>
      </c>
      <c r="E403">
        <v>26.7</v>
      </c>
      <c r="F403">
        <v>12.9</v>
      </c>
      <c r="G403">
        <v>204.5</v>
      </c>
    </row>
    <row r="404" spans="2:7" x14ac:dyDescent="0.2">
      <c r="B404">
        <v>1995</v>
      </c>
      <c r="C404">
        <v>6</v>
      </c>
      <c r="D404">
        <v>20.399999999999999</v>
      </c>
      <c r="E404">
        <v>28.8</v>
      </c>
      <c r="F404">
        <v>14.9</v>
      </c>
      <c r="G404">
        <v>185.5</v>
      </c>
    </row>
    <row r="405" spans="2:7" x14ac:dyDescent="0.2">
      <c r="B405">
        <v>1995</v>
      </c>
      <c r="C405">
        <v>7</v>
      </c>
      <c r="D405">
        <v>26.4</v>
      </c>
      <c r="E405">
        <v>35.9</v>
      </c>
      <c r="F405">
        <v>19.399999999999999</v>
      </c>
      <c r="G405">
        <v>171</v>
      </c>
    </row>
    <row r="406" spans="2:7" x14ac:dyDescent="0.2">
      <c r="B406">
        <v>1995</v>
      </c>
      <c r="C406">
        <v>8</v>
      </c>
      <c r="D406">
        <v>29.4</v>
      </c>
      <c r="E406">
        <v>36.4</v>
      </c>
      <c r="F406">
        <v>24.5</v>
      </c>
      <c r="G406">
        <v>31</v>
      </c>
    </row>
    <row r="407" spans="2:7" x14ac:dyDescent="0.2">
      <c r="B407">
        <v>1995</v>
      </c>
      <c r="C407">
        <v>9</v>
      </c>
      <c r="D407">
        <v>23.7</v>
      </c>
      <c r="E407">
        <v>35.799999999999997</v>
      </c>
      <c r="F407">
        <v>15.1</v>
      </c>
      <c r="G407">
        <v>164.5</v>
      </c>
    </row>
    <row r="408" spans="2:7" x14ac:dyDescent="0.2">
      <c r="B408">
        <v>1995</v>
      </c>
      <c r="C408">
        <v>10</v>
      </c>
      <c r="D408">
        <v>19.5</v>
      </c>
      <c r="E408">
        <v>27.8</v>
      </c>
      <c r="F408">
        <v>12.3</v>
      </c>
      <c r="G408">
        <v>79</v>
      </c>
    </row>
    <row r="409" spans="2:7" x14ac:dyDescent="0.2">
      <c r="B409">
        <v>1995</v>
      </c>
      <c r="C409">
        <v>11</v>
      </c>
      <c r="D409">
        <v>12.7</v>
      </c>
      <c r="E409">
        <v>23.9</v>
      </c>
      <c r="F409">
        <v>5.2</v>
      </c>
      <c r="G409">
        <v>42</v>
      </c>
    </row>
    <row r="410" spans="2:7" x14ac:dyDescent="0.2">
      <c r="B410">
        <v>1995</v>
      </c>
      <c r="C410">
        <v>12</v>
      </c>
      <c r="D410">
        <v>7.7</v>
      </c>
      <c r="E410">
        <v>16.7</v>
      </c>
      <c r="F410">
        <v>-0.6</v>
      </c>
      <c r="G410">
        <v>0</v>
      </c>
    </row>
    <row r="411" spans="2:7" x14ac:dyDescent="0.2">
      <c r="B411">
        <v>1996</v>
      </c>
      <c r="C411">
        <v>1</v>
      </c>
      <c r="D411">
        <v>6.6</v>
      </c>
      <c r="E411">
        <v>19.899999999999999</v>
      </c>
      <c r="F411">
        <v>-0.4</v>
      </c>
      <c r="G411">
        <v>13</v>
      </c>
    </row>
    <row r="412" spans="2:7" x14ac:dyDescent="0.2">
      <c r="B412">
        <v>1996</v>
      </c>
      <c r="C412">
        <v>2</v>
      </c>
      <c r="D412">
        <v>5.4</v>
      </c>
      <c r="E412">
        <v>20.9</v>
      </c>
      <c r="F412">
        <v>-1.5</v>
      </c>
      <c r="G412">
        <v>45</v>
      </c>
    </row>
    <row r="413" spans="2:7" x14ac:dyDescent="0.2">
      <c r="B413">
        <v>1996</v>
      </c>
      <c r="C413">
        <v>3</v>
      </c>
      <c r="D413">
        <v>9.1999999999999993</v>
      </c>
      <c r="E413">
        <v>23.1</v>
      </c>
      <c r="F413">
        <v>0.7</v>
      </c>
      <c r="G413">
        <v>118</v>
      </c>
    </row>
    <row r="414" spans="2:7" x14ac:dyDescent="0.2">
      <c r="B414">
        <v>1996</v>
      </c>
      <c r="C414">
        <v>4</v>
      </c>
      <c r="D414">
        <v>12.7</v>
      </c>
      <c r="E414">
        <v>26.2</v>
      </c>
      <c r="F414">
        <v>3.7</v>
      </c>
      <c r="G414">
        <v>111</v>
      </c>
    </row>
    <row r="415" spans="2:7" x14ac:dyDescent="0.2">
      <c r="B415">
        <v>1996</v>
      </c>
      <c r="C415">
        <v>5</v>
      </c>
      <c r="D415">
        <v>18.100000000000001</v>
      </c>
      <c r="E415">
        <v>30.5</v>
      </c>
      <c r="F415">
        <v>10.5</v>
      </c>
      <c r="G415">
        <v>128</v>
      </c>
    </row>
    <row r="416" spans="2:7" x14ac:dyDescent="0.2">
      <c r="B416">
        <v>1996</v>
      </c>
      <c r="C416">
        <v>6</v>
      </c>
      <c r="D416">
        <v>22.6</v>
      </c>
      <c r="E416">
        <v>31.8</v>
      </c>
      <c r="F416">
        <v>15.7</v>
      </c>
      <c r="G416">
        <v>36</v>
      </c>
    </row>
    <row r="417" spans="2:7" x14ac:dyDescent="0.2">
      <c r="B417">
        <v>1996</v>
      </c>
      <c r="C417">
        <v>7</v>
      </c>
      <c r="D417">
        <v>26.2</v>
      </c>
      <c r="E417">
        <v>34.799999999999997</v>
      </c>
      <c r="F417">
        <v>17.2</v>
      </c>
      <c r="G417">
        <v>253.5</v>
      </c>
    </row>
    <row r="418" spans="2:7" x14ac:dyDescent="0.2">
      <c r="B418">
        <v>1996</v>
      </c>
      <c r="C418">
        <v>8</v>
      </c>
      <c r="D418">
        <v>26</v>
      </c>
      <c r="E418">
        <v>38.700000000000003</v>
      </c>
      <c r="F418">
        <v>17.899999999999999</v>
      </c>
      <c r="G418">
        <v>31.5</v>
      </c>
    </row>
    <row r="419" spans="2:7" x14ac:dyDescent="0.2">
      <c r="B419">
        <v>1996</v>
      </c>
      <c r="C419">
        <v>9</v>
      </c>
      <c r="D419">
        <v>22.4</v>
      </c>
      <c r="E419">
        <v>34.5</v>
      </c>
      <c r="F419">
        <v>14.8</v>
      </c>
      <c r="G419">
        <v>382</v>
      </c>
    </row>
    <row r="420" spans="2:7" x14ac:dyDescent="0.2">
      <c r="B420">
        <v>1996</v>
      </c>
      <c r="C420">
        <v>10</v>
      </c>
      <c r="D420">
        <v>18</v>
      </c>
      <c r="E420">
        <v>27.2</v>
      </c>
      <c r="F420">
        <v>9.3000000000000007</v>
      </c>
      <c r="G420">
        <v>83.5</v>
      </c>
    </row>
    <row r="421" spans="2:7" x14ac:dyDescent="0.2">
      <c r="B421">
        <v>1996</v>
      </c>
      <c r="C421">
        <v>11</v>
      </c>
      <c r="D421">
        <v>13.2</v>
      </c>
      <c r="E421">
        <v>24.2</v>
      </c>
      <c r="F421">
        <v>5.8</v>
      </c>
      <c r="G421">
        <v>84</v>
      </c>
    </row>
    <row r="422" spans="2:7" x14ac:dyDescent="0.2">
      <c r="B422">
        <v>1996</v>
      </c>
      <c r="C422">
        <v>12</v>
      </c>
      <c r="D422">
        <v>9.3000000000000007</v>
      </c>
      <c r="E422">
        <v>18.600000000000001</v>
      </c>
      <c r="F422">
        <v>2.4</v>
      </c>
      <c r="G422">
        <v>48</v>
      </c>
    </row>
    <row r="423" spans="2:7" x14ac:dyDescent="0.2">
      <c r="B423">
        <v>1997</v>
      </c>
      <c r="C423">
        <v>1</v>
      </c>
      <c r="D423">
        <v>6.8</v>
      </c>
      <c r="E423">
        <v>16.399999999999999</v>
      </c>
      <c r="F423">
        <v>-2.1</v>
      </c>
      <c r="G423">
        <v>29</v>
      </c>
    </row>
    <row r="424" spans="2:7" x14ac:dyDescent="0.2">
      <c r="B424">
        <v>1997</v>
      </c>
      <c r="C424">
        <v>2</v>
      </c>
      <c r="D424">
        <v>7</v>
      </c>
      <c r="E424">
        <v>18</v>
      </c>
      <c r="F424">
        <v>-1.4</v>
      </c>
      <c r="G424">
        <v>21.5</v>
      </c>
    </row>
    <row r="425" spans="2:7" x14ac:dyDescent="0.2">
      <c r="B425">
        <v>1997</v>
      </c>
      <c r="C425">
        <v>3</v>
      </c>
      <c r="D425">
        <v>10.5</v>
      </c>
      <c r="E425">
        <v>25.1</v>
      </c>
      <c r="F425">
        <v>3</v>
      </c>
      <c r="G425">
        <v>106</v>
      </c>
    </row>
    <row r="426" spans="2:7" x14ac:dyDescent="0.2">
      <c r="B426">
        <v>1997</v>
      </c>
      <c r="C426">
        <v>4</v>
      </c>
      <c r="D426">
        <v>15.2</v>
      </c>
      <c r="E426">
        <v>27.2</v>
      </c>
      <c r="F426">
        <v>8</v>
      </c>
      <c r="G426">
        <v>105.5</v>
      </c>
    </row>
    <row r="427" spans="2:7" x14ac:dyDescent="0.2">
      <c r="B427">
        <v>1997</v>
      </c>
      <c r="C427">
        <v>5</v>
      </c>
      <c r="D427">
        <v>19.2</v>
      </c>
      <c r="E427">
        <v>27.9</v>
      </c>
      <c r="F427">
        <v>11.3</v>
      </c>
      <c r="G427">
        <v>186</v>
      </c>
    </row>
    <row r="428" spans="2:7" x14ac:dyDescent="0.2">
      <c r="B428">
        <v>1997</v>
      </c>
      <c r="C428">
        <v>6</v>
      </c>
      <c r="D428">
        <v>22.7</v>
      </c>
      <c r="E428">
        <v>32.799999999999997</v>
      </c>
      <c r="F428">
        <v>13.4</v>
      </c>
      <c r="G428">
        <v>170.5</v>
      </c>
    </row>
    <row r="429" spans="2:7" x14ac:dyDescent="0.2">
      <c r="B429">
        <v>1997</v>
      </c>
      <c r="C429">
        <v>7</v>
      </c>
      <c r="D429">
        <v>26.6</v>
      </c>
      <c r="E429">
        <v>37.700000000000003</v>
      </c>
      <c r="F429">
        <v>19.399999999999999</v>
      </c>
      <c r="G429">
        <v>185</v>
      </c>
    </row>
    <row r="430" spans="2:7" x14ac:dyDescent="0.2">
      <c r="B430">
        <v>1997</v>
      </c>
      <c r="C430">
        <v>8</v>
      </c>
      <c r="D430">
        <v>27</v>
      </c>
      <c r="E430">
        <v>34.5</v>
      </c>
      <c r="F430">
        <v>19.399999999999999</v>
      </c>
      <c r="G430">
        <v>144</v>
      </c>
    </row>
    <row r="431" spans="2:7" x14ac:dyDescent="0.2">
      <c r="B431">
        <v>1997</v>
      </c>
      <c r="C431">
        <v>9</v>
      </c>
      <c r="D431">
        <v>22.9</v>
      </c>
      <c r="E431">
        <v>32.9</v>
      </c>
      <c r="F431">
        <v>15.4</v>
      </c>
      <c r="G431">
        <v>204</v>
      </c>
    </row>
    <row r="432" spans="2:7" x14ac:dyDescent="0.2">
      <c r="B432">
        <v>1997</v>
      </c>
      <c r="C432">
        <v>10</v>
      </c>
      <c r="D432">
        <v>18.7</v>
      </c>
      <c r="E432">
        <v>27.1</v>
      </c>
      <c r="F432">
        <v>9.6</v>
      </c>
      <c r="G432">
        <v>19</v>
      </c>
    </row>
    <row r="433" spans="2:7" x14ac:dyDescent="0.2">
      <c r="B433">
        <v>1997</v>
      </c>
      <c r="C433">
        <v>11</v>
      </c>
      <c r="D433">
        <v>14.3</v>
      </c>
      <c r="E433">
        <v>24.4</v>
      </c>
      <c r="F433">
        <v>6.9</v>
      </c>
      <c r="G433">
        <v>91</v>
      </c>
    </row>
    <row r="434" spans="2:7" x14ac:dyDescent="0.2">
      <c r="B434">
        <v>1997</v>
      </c>
      <c r="C434">
        <v>12</v>
      </c>
      <c r="D434">
        <v>9.1999999999999993</v>
      </c>
      <c r="E434">
        <v>17.600000000000001</v>
      </c>
      <c r="F434">
        <v>2.5</v>
      </c>
      <c r="G434">
        <v>40.5</v>
      </c>
    </row>
    <row r="435" spans="2:7" x14ac:dyDescent="0.2">
      <c r="B435">
        <v>1998</v>
      </c>
      <c r="C435">
        <v>1</v>
      </c>
      <c r="D435">
        <v>5.3</v>
      </c>
      <c r="E435">
        <v>13.6</v>
      </c>
      <c r="F435">
        <v>-0.8</v>
      </c>
      <c r="G435">
        <v>122</v>
      </c>
    </row>
    <row r="436" spans="2:7" x14ac:dyDescent="0.2">
      <c r="B436">
        <v>1998</v>
      </c>
      <c r="C436">
        <v>2</v>
      </c>
      <c r="D436">
        <v>7</v>
      </c>
      <c r="E436">
        <v>23.1</v>
      </c>
      <c r="F436">
        <v>0.5</v>
      </c>
      <c r="G436">
        <v>110.5</v>
      </c>
    </row>
    <row r="437" spans="2:7" x14ac:dyDescent="0.2">
      <c r="B437">
        <v>1998</v>
      </c>
      <c r="C437">
        <v>3</v>
      </c>
      <c r="D437">
        <v>10.1</v>
      </c>
      <c r="E437">
        <v>24.5</v>
      </c>
      <c r="F437">
        <v>0.7</v>
      </c>
      <c r="G437">
        <v>108</v>
      </c>
    </row>
    <row r="438" spans="2:7" x14ac:dyDescent="0.2">
      <c r="B438">
        <v>1998</v>
      </c>
      <c r="C438">
        <v>4</v>
      </c>
      <c r="D438">
        <v>16.3</v>
      </c>
      <c r="E438">
        <v>27.1</v>
      </c>
      <c r="F438">
        <v>2.5</v>
      </c>
      <c r="G438">
        <v>188</v>
      </c>
    </row>
    <row r="439" spans="2:7" x14ac:dyDescent="0.2">
      <c r="B439">
        <v>1998</v>
      </c>
      <c r="C439">
        <v>5</v>
      </c>
      <c r="D439">
        <v>20.5</v>
      </c>
      <c r="E439">
        <v>29.3</v>
      </c>
      <c r="F439">
        <v>10.6</v>
      </c>
      <c r="G439">
        <v>140.5</v>
      </c>
    </row>
    <row r="440" spans="2:7" x14ac:dyDescent="0.2">
      <c r="B440">
        <v>1998</v>
      </c>
      <c r="C440">
        <v>6</v>
      </c>
      <c r="D440">
        <v>21.5</v>
      </c>
      <c r="E440">
        <v>33.700000000000003</v>
      </c>
      <c r="F440">
        <v>13.8</v>
      </c>
      <c r="G440">
        <v>150.5</v>
      </c>
    </row>
    <row r="441" spans="2:7" x14ac:dyDescent="0.2">
      <c r="B441">
        <v>1998</v>
      </c>
      <c r="C441">
        <v>7</v>
      </c>
      <c r="D441">
        <v>25.3</v>
      </c>
      <c r="E441">
        <v>36.1</v>
      </c>
      <c r="F441">
        <v>17</v>
      </c>
      <c r="G441">
        <v>156.5</v>
      </c>
    </row>
    <row r="442" spans="2:7" x14ac:dyDescent="0.2">
      <c r="B442">
        <v>1998</v>
      </c>
      <c r="C442">
        <v>8</v>
      </c>
      <c r="D442">
        <v>27.2</v>
      </c>
      <c r="E442">
        <v>35.5</v>
      </c>
      <c r="F442">
        <v>20.3</v>
      </c>
      <c r="G442">
        <v>143.5</v>
      </c>
    </row>
    <row r="443" spans="2:7" x14ac:dyDescent="0.2">
      <c r="B443">
        <v>1998</v>
      </c>
      <c r="C443">
        <v>9</v>
      </c>
      <c r="D443">
        <v>24.4</v>
      </c>
      <c r="E443">
        <v>32.799999999999997</v>
      </c>
      <c r="F443">
        <v>17.7</v>
      </c>
      <c r="G443">
        <v>229</v>
      </c>
    </row>
    <row r="444" spans="2:7" x14ac:dyDescent="0.2">
      <c r="B444">
        <v>1998</v>
      </c>
      <c r="C444">
        <v>10</v>
      </c>
      <c r="D444">
        <v>20.100000000000001</v>
      </c>
      <c r="E444">
        <v>31.9</v>
      </c>
      <c r="F444">
        <v>11.9</v>
      </c>
      <c r="G444">
        <v>142.5</v>
      </c>
    </row>
    <row r="445" spans="2:7" x14ac:dyDescent="0.2">
      <c r="B445">
        <v>1998</v>
      </c>
      <c r="C445">
        <v>11</v>
      </c>
      <c r="D445">
        <v>13.9</v>
      </c>
      <c r="E445">
        <v>25</v>
      </c>
      <c r="F445">
        <v>5.3</v>
      </c>
      <c r="G445">
        <v>7.5</v>
      </c>
    </row>
    <row r="446" spans="2:7" x14ac:dyDescent="0.2">
      <c r="B446">
        <v>1998</v>
      </c>
      <c r="C446">
        <v>12</v>
      </c>
      <c r="D446">
        <v>9</v>
      </c>
      <c r="E446">
        <v>18.399999999999999</v>
      </c>
      <c r="F446">
        <v>2.4</v>
      </c>
      <c r="G446">
        <v>48</v>
      </c>
    </row>
    <row r="447" spans="2:7" x14ac:dyDescent="0.2">
      <c r="B447">
        <v>1999</v>
      </c>
      <c r="C447">
        <v>1</v>
      </c>
      <c r="D447">
        <v>6.6</v>
      </c>
      <c r="E447">
        <v>16.399999999999999</v>
      </c>
      <c r="F447">
        <v>-0.9</v>
      </c>
      <c r="G447">
        <v>19.5</v>
      </c>
    </row>
    <row r="448" spans="2:7" x14ac:dyDescent="0.2">
      <c r="B448">
        <v>1999</v>
      </c>
      <c r="C448">
        <v>2</v>
      </c>
      <c r="D448">
        <v>6.7</v>
      </c>
      <c r="E448">
        <v>21.3</v>
      </c>
      <c r="F448">
        <v>-1.4</v>
      </c>
      <c r="G448">
        <v>35.5</v>
      </c>
    </row>
    <row r="449" spans="2:7" x14ac:dyDescent="0.2">
      <c r="B449">
        <v>1999</v>
      </c>
      <c r="C449">
        <v>3</v>
      </c>
      <c r="D449">
        <v>10.1</v>
      </c>
      <c r="E449">
        <v>20.3</v>
      </c>
      <c r="F449">
        <v>2.1</v>
      </c>
      <c r="G449">
        <v>144.5</v>
      </c>
    </row>
    <row r="450" spans="2:7" x14ac:dyDescent="0.2">
      <c r="B450">
        <v>1999</v>
      </c>
      <c r="C450">
        <v>4</v>
      </c>
      <c r="D450">
        <v>15</v>
      </c>
      <c r="E450">
        <v>24</v>
      </c>
      <c r="F450">
        <v>5.4</v>
      </c>
      <c r="G450">
        <v>205</v>
      </c>
    </row>
    <row r="451" spans="2:7" x14ac:dyDescent="0.2">
      <c r="B451">
        <v>1999</v>
      </c>
      <c r="C451">
        <v>5</v>
      </c>
      <c r="D451">
        <v>19.899999999999999</v>
      </c>
      <c r="E451">
        <v>31.9</v>
      </c>
      <c r="F451">
        <v>10.9</v>
      </c>
      <c r="G451">
        <v>103.5</v>
      </c>
    </row>
    <row r="452" spans="2:7" x14ac:dyDescent="0.2">
      <c r="B452">
        <v>1999</v>
      </c>
      <c r="C452">
        <v>6</v>
      </c>
      <c r="D452">
        <v>22.8</v>
      </c>
      <c r="E452">
        <v>32.9</v>
      </c>
      <c r="F452">
        <v>15.4</v>
      </c>
      <c r="G452">
        <v>192.5</v>
      </c>
    </row>
    <row r="453" spans="2:7" x14ac:dyDescent="0.2">
      <c r="B453">
        <v>1999</v>
      </c>
      <c r="C453">
        <v>7</v>
      </c>
      <c r="D453">
        <v>25.9</v>
      </c>
      <c r="E453">
        <v>34.200000000000003</v>
      </c>
      <c r="F453">
        <v>17.2</v>
      </c>
      <c r="G453">
        <v>342</v>
      </c>
    </row>
    <row r="454" spans="2:7" x14ac:dyDescent="0.2">
      <c r="B454">
        <v>1999</v>
      </c>
      <c r="C454">
        <v>8</v>
      </c>
      <c r="D454">
        <v>28.5</v>
      </c>
      <c r="E454">
        <v>34.799999999999997</v>
      </c>
      <c r="F454">
        <v>23.1</v>
      </c>
      <c r="G454">
        <v>301</v>
      </c>
    </row>
    <row r="455" spans="2:7" x14ac:dyDescent="0.2">
      <c r="B455">
        <v>1999</v>
      </c>
      <c r="C455">
        <v>9</v>
      </c>
      <c r="D455">
        <v>26.2</v>
      </c>
      <c r="E455">
        <v>34.200000000000003</v>
      </c>
      <c r="F455">
        <v>18</v>
      </c>
      <c r="G455">
        <v>91</v>
      </c>
    </row>
    <row r="456" spans="2:7" x14ac:dyDescent="0.2">
      <c r="B456">
        <v>1999</v>
      </c>
      <c r="C456">
        <v>10</v>
      </c>
      <c r="D456">
        <v>19.5</v>
      </c>
      <c r="E456">
        <v>29.2</v>
      </c>
      <c r="F456">
        <v>10.3</v>
      </c>
      <c r="G456">
        <v>87.5</v>
      </c>
    </row>
    <row r="457" spans="2:7" x14ac:dyDescent="0.2">
      <c r="B457">
        <v>1999</v>
      </c>
      <c r="C457">
        <v>11</v>
      </c>
      <c r="D457">
        <v>14.2</v>
      </c>
      <c r="E457">
        <v>23.8</v>
      </c>
      <c r="F457">
        <v>7</v>
      </c>
      <c r="G457">
        <v>93</v>
      </c>
    </row>
    <row r="458" spans="2:7" x14ac:dyDescent="0.2">
      <c r="B458">
        <v>1999</v>
      </c>
      <c r="C458">
        <v>12</v>
      </c>
      <c r="D458">
        <v>9</v>
      </c>
      <c r="E458">
        <v>18</v>
      </c>
      <c r="F458">
        <v>1.7</v>
      </c>
      <c r="G458">
        <v>7</v>
      </c>
    </row>
    <row r="459" spans="2:7" x14ac:dyDescent="0.2">
      <c r="B459">
        <v>2000</v>
      </c>
      <c r="C459">
        <v>1</v>
      </c>
      <c r="D459">
        <v>7.6</v>
      </c>
      <c r="E459">
        <v>16.899999999999999</v>
      </c>
      <c r="F459">
        <v>-0.7</v>
      </c>
      <c r="G459">
        <v>66.5</v>
      </c>
    </row>
    <row r="460" spans="2:7" x14ac:dyDescent="0.2">
      <c r="B460">
        <v>2000</v>
      </c>
      <c r="C460">
        <v>2</v>
      </c>
      <c r="D460">
        <v>6</v>
      </c>
      <c r="E460">
        <v>14.5</v>
      </c>
      <c r="F460">
        <v>0</v>
      </c>
      <c r="G460">
        <v>4</v>
      </c>
    </row>
    <row r="461" spans="2:7" x14ac:dyDescent="0.2">
      <c r="B461">
        <v>2000</v>
      </c>
      <c r="C461">
        <v>3</v>
      </c>
      <c r="D461">
        <v>9.4</v>
      </c>
      <c r="E461">
        <v>19.899999999999999</v>
      </c>
      <c r="F461">
        <v>1.5</v>
      </c>
      <c r="G461">
        <v>85.5</v>
      </c>
    </row>
    <row r="462" spans="2:7" x14ac:dyDescent="0.2">
      <c r="B462">
        <v>2000</v>
      </c>
      <c r="C462">
        <v>4</v>
      </c>
      <c r="D462">
        <v>14.5</v>
      </c>
      <c r="E462">
        <v>24.1</v>
      </c>
      <c r="F462">
        <v>6.4</v>
      </c>
      <c r="G462">
        <v>151.5</v>
      </c>
    </row>
    <row r="463" spans="2:7" x14ac:dyDescent="0.2">
      <c r="B463">
        <v>2000</v>
      </c>
      <c r="C463">
        <v>5</v>
      </c>
      <c r="D463">
        <v>19.8</v>
      </c>
      <c r="E463">
        <v>30</v>
      </c>
      <c r="F463">
        <v>12.9</v>
      </c>
      <c r="G463">
        <v>109</v>
      </c>
    </row>
    <row r="464" spans="2:7" x14ac:dyDescent="0.2">
      <c r="B464">
        <v>2000</v>
      </c>
      <c r="C464">
        <v>6</v>
      </c>
      <c r="D464">
        <v>22.5</v>
      </c>
      <c r="E464">
        <v>30.5</v>
      </c>
      <c r="F464">
        <v>16.399999999999999</v>
      </c>
      <c r="G464">
        <v>232</v>
      </c>
    </row>
    <row r="465" spans="2:7" x14ac:dyDescent="0.2">
      <c r="B465">
        <v>2000</v>
      </c>
      <c r="C465">
        <v>7</v>
      </c>
      <c r="D465">
        <v>27.7</v>
      </c>
      <c r="E465">
        <v>34.9</v>
      </c>
      <c r="F465">
        <v>19.899999999999999</v>
      </c>
      <c r="G465">
        <v>373.5</v>
      </c>
    </row>
    <row r="466" spans="2:7" x14ac:dyDescent="0.2">
      <c r="B466">
        <v>2000</v>
      </c>
      <c r="C466">
        <v>8</v>
      </c>
      <c r="D466">
        <v>28.3</v>
      </c>
      <c r="E466">
        <v>34.5</v>
      </c>
      <c r="F466">
        <v>22.2</v>
      </c>
      <c r="G466">
        <v>162</v>
      </c>
    </row>
    <row r="467" spans="2:7" x14ac:dyDescent="0.2">
      <c r="B467">
        <v>2000</v>
      </c>
      <c r="C467">
        <v>9</v>
      </c>
      <c r="D467">
        <v>25.6</v>
      </c>
      <c r="E467">
        <v>37.799999999999997</v>
      </c>
      <c r="F467">
        <v>17.8</v>
      </c>
      <c r="G467">
        <v>164</v>
      </c>
    </row>
    <row r="468" spans="2:7" x14ac:dyDescent="0.2">
      <c r="B468">
        <v>2000</v>
      </c>
      <c r="C468">
        <v>10</v>
      </c>
      <c r="D468">
        <v>18.8</v>
      </c>
      <c r="E468">
        <v>28.1</v>
      </c>
      <c r="F468">
        <v>11.1</v>
      </c>
      <c r="G468">
        <v>142.5</v>
      </c>
    </row>
    <row r="469" spans="2:7" x14ac:dyDescent="0.2">
      <c r="B469">
        <v>2000</v>
      </c>
      <c r="C469">
        <v>11</v>
      </c>
      <c r="D469">
        <v>13.3</v>
      </c>
      <c r="E469">
        <v>23.1</v>
      </c>
      <c r="F469">
        <v>5.3</v>
      </c>
      <c r="G469">
        <v>106</v>
      </c>
    </row>
    <row r="470" spans="2:7" x14ac:dyDescent="0.2">
      <c r="B470">
        <v>2000</v>
      </c>
      <c r="C470">
        <v>12</v>
      </c>
      <c r="D470">
        <v>8.8000000000000007</v>
      </c>
      <c r="E470">
        <v>20.2</v>
      </c>
      <c r="F470">
        <v>1.7</v>
      </c>
      <c r="G470">
        <v>6.5</v>
      </c>
    </row>
    <row r="471" spans="2:7" x14ac:dyDescent="0.2">
      <c r="B471">
        <v>2001</v>
      </c>
      <c r="C471">
        <v>1</v>
      </c>
      <c r="D471">
        <v>4.9000000000000004</v>
      </c>
      <c r="E471">
        <v>13.8</v>
      </c>
      <c r="F471">
        <v>-2.4</v>
      </c>
      <c r="G471">
        <v>126.5</v>
      </c>
    </row>
    <row r="472" spans="2:7" x14ac:dyDescent="0.2">
      <c r="B472">
        <v>2001</v>
      </c>
      <c r="C472">
        <v>2</v>
      </c>
      <c r="D472">
        <v>6.6</v>
      </c>
      <c r="E472">
        <v>19.7</v>
      </c>
      <c r="F472">
        <v>0</v>
      </c>
      <c r="G472">
        <v>23</v>
      </c>
    </row>
    <row r="473" spans="2:7" x14ac:dyDescent="0.2">
      <c r="B473">
        <v>2001</v>
      </c>
      <c r="C473">
        <v>3</v>
      </c>
      <c r="D473">
        <v>9.8000000000000007</v>
      </c>
      <c r="E473">
        <v>22.8</v>
      </c>
      <c r="F473">
        <v>1.1000000000000001</v>
      </c>
      <c r="G473">
        <v>107.5</v>
      </c>
    </row>
    <row r="474" spans="2:7" x14ac:dyDescent="0.2">
      <c r="B474">
        <v>2001</v>
      </c>
      <c r="C474">
        <v>4</v>
      </c>
      <c r="D474">
        <v>15.7</v>
      </c>
      <c r="E474">
        <v>26.2</v>
      </c>
      <c r="F474">
        <v>1</v>
      </c>
      <c r="G474">
        <v>40.5</v>
      </c>
    </row>
    <row r="475" spans="2:7" x14ac:dyDescent="0.2">
      <c r="B475">
        <v>2001</v>
      </c>
      <c r="C475">
        <v>5</v>
      </c>
      <c r="D475">
        <v>19.5</v>
      </c>
      <c r="E475">
        <v>27.5</v>
      </c>
      <c r="F475">
        <v>8.6999999999999993</v>
      </c>
      <c r="G475">
        <v>170.5</v>
      </c>
    </row>
    <row r="476" spans="2:7" x14ac:dyDescent="0.2">
      <c r="B476">
        <v>2001</v>
      </c>
      <c r="C476">
        <v>6</v>
      </c>
      <c r="D476">
        <v>23.1</v>
      </c>
      <c r="E476">
        <v>33.700000000000003</v>
      </c>
      <c r="F476">
        <v>16.100000000000001</v>
      </c>
      <c r="G476">
        <v>144.5</v>
      </c>
    </row>
    <row r="477" spans="2:7" x14ac:dyDescent="0.2">
      <c r="B477">
        <v>2001</v>
      </c>
      <c r="C477">
        <v>7</v>
      </c>
      <c r="D477">
        <v>28.5</v>
      </c>
      <c r="E477">
        <v>38.1</v>
      </c>
      <c r="F477">
        <v>21.9</v>
      </c>
      <c r="G477">
        <v>41.5</v>
      </c>
    </row>
    <row r="478" spans="2:7" x14ac:dyDescent="0.2">
      <c r="B478">
        <v>2001</v>
      </c>
      <c r="C478">
        <v>8</v>
      </c>
      <c r="D478">
        <v>26.4</v>
      </c>
      <c r="E478">
        <v>36.299999999999997</v>
      </c>
      <c r="F478">
        <v>19.600000000000001</v>
      </c>
      <c r="G478">
        <v>136.5</v>
      </c>
    </row>
    <row r="479" spans="2:7" x14ac:dyDescent="0.2">
      <c r="B479">
        <v>2001</v>
      </c>
      <c r="C479">
        <v>9</v>
      </c>
      <c r="D479">
        <v>23.2</v>
      </c>
      <c r="E479">
        <v>32.6</v>
      </c>
      <c r="F479">
        <v>13.2</v>
      </c>
      <c r="G479">
        <v>204</v>
      </c>
    </row>
    <row r="480" spans="2:7" x14ac:dyDescent="0.2">
      <c r="B480">
        <v>2001</v>
      </c>
      <c r="C480">
        <v>10</v>
      </c>
      <c r="D480">
        <v>18.7</v>
      </c>
      <c r="E480">
        <v>28.5</v>
      </c>
      <c r="F480">
        <v>11.3</v>
      </c>
      <c r="G480">
        <v>343</v>
      </c>
    </row>
    <row r="481" spans="2:7" x14ac:dyDescent="0.2">
      <c r="B481">
        <v>2001</v>
      </c>
      <c r="C481">
        <v>11</v>
      </c>
      <c r="D481">
        <v>13.1</v>
      </c>
      <c r="E481">
        <v>21.8</v>
      </c>
      <c r="F481">
        <v>6</v>
      </c>
      <c r="G481">
        <v>123.5</v>
      </c>
    </row>
    <row r="482" spans="2:7" x14ac:dyDescent="0.2">
      <c r="B482">
        <v>2001</v>
      </c>
      <c r="C482">
        <v>12</v>
      </c>
      <c r="D482">
        <v>8.4</v>
      </c>
      <c r="E482">
        <v>16.7</v>
      </c>
      <c r="F482">
        <v>0.9</v>
      </c>
      <c r="G482">
        <v>30</v>
      </c>
    </row>
    <row r="483" spans="2:7" x14ac:dyDescent="0.2">
      <c r="B483">
        <v>2002</v>
      </c>
      <c r="C483">
        <v>1</v>
      </c>
      <c r="D483">
        <v>7.4</v>
      </c>
      <c r="E483">
        <v>18.100000000000001</v>
      </c>
      <c r="F483">
        <v>-0.3</v>
      </c>
      <c r="G483">
        <v>98.5</v>
      </c>
    </row>
    <row r="484" spans="2:7" x14ac:dyDescent="0.2">
      <c r="B484">
        <v>2002</v>
      </c>
      <c r="C484">
        <v>2</v>
      </c>
      <c r="D484">
        <v>7.9</v>
      </c>
      <c r="E484">
        <v>17.7</v>
      </c>
      <c r="F484">
        <v>0.3</v>
      </c>
      <c r="G484">
        <v>25</v>
      </c>
    </row>
    <row r="485" spans="2:7" x14ac:dyDescent="0.2">
      <c r="B485">
        <v>2002</v>
      </c>
      <c r="C485">
        <v>3</v>
      </c>
      <c r="D485">
        <v>12.2</v>
      </c>
      <c r="E485">
        <v>23.9</v>
      </c>
      <c r="F485">
        <v>3.9</v>
      </c>
      <c r="G485">
        <v>82</v>
      </c>
    </row>
    <row r="486" spans="2:7" x14ac:dyDescent="0.2">
      <c r="B486">
        <v>2002</v>
      </c>
      <c r="C486">
        <v>4</v>
      </c>
      <c r="D486">
        <v>16.100000000000001</v>
      </c>
      <c r="E486">
        <v>28</v>
      </c>
      <c r="F486">
        <v>9.1</v>
      </c>
      <c r="G486">
        <v>58</v>
      </c>
    </row>
    <row r="487" spans="2:7" x14ac:dyDescent="0.2">
      <c r="B487">
        <v>2002</v>
      </c>
      <c r="C487">
        <v>5</v>
      </c>
      <c r="D487">
        <v>18.399999999999999</v>
      </c>
      <c r="E487">
        <v>27.5</v>
      </c>
      <c r="F487">
        <v>12.4</v>
      </c>
      <c r="G487">
        <v>112.5</v>
      </c>
    </row>
    <row r="488" spans="2:7" x14ac:dyDescent="0.2">
      <c r="B488">
        <v>2002</v>
      </c>
      <c r="C488">
        <v>6</v>
      </c>
      <c r="D488">
        <v>21.6</v>
      </c>
      <c r="E488">
        <v>31.1</v>
      </c>
      <c r="F488">
        <v>15.6</v>
      </c>
      <c r="G488">
        <v>151.5</v>
      </c>
    </row>
    <row r="489" spans="2:7" x14ac:dyDescent="0.2">
      <c r="B489">
        <v>2002</v>
      </c>
      <c r="C489">
        <v>7</v>
      </c>
      <c r="D489">
        <v>28</v>
      </c>
      <c r="E489">
        <v>34.799999999999997</v>
      </c>
      <c r="F489">
        <v>21.1</v>
      </c>
      <c r="G489">
        <v>124</v>
      </c>
    </row>
    <row r="490" spans="2:7" x14ac:dyDescent="0.2">
      <c r="B490">
        <v>2002</v>
      </c>
      <c r="C490">
        <v>8</v>
      </c>
      <c r="D490">
        <v>28</v>
      </c>
      <c r="E490">
        <v>35.799999999999997</v>
      </c>
      <c r="F490">
        <v>20.7</v>
      </c>
      <c r="G490">
        <v>120</v>
      </c>
    </row>
    <row r="491" spans="2:7" x14ac:dyDescent="0.2">
      <c r="B491">
        <v>2002</v>
      </c>
      <c r="C491">
        <v>9</v>
      </c>
      <c r="D491">
        <v>23.1</v>
      </c>
      <c r="E491">
        <v>33.9</v>
      </c>
      <c r="F491">
        <v>15.4</v>
      </c>
      <c r="G491">
        <v>207</v>
      </c>
    </row>
    <row r="492" spans="2:7" x14ac:dyDescent="0.2">
      <c r="B492">
        <v>2002</v>
      </c>
      <c r="C492">
        <v>10</v>
      </c>
      <c r="D492">
        <v>19</v>
      </c>
      <c r="E492">
        <v>29.4</v>
      </c>
      <c r="F492">
        <v>9.1</v>
      </c>
      <c r="G492">
        <v>194</v>
      </c>
    </row>
    <row r="493" spans="2:7" x14ac:dyDescent="0.2">
      <c r="B493">
        <v>2002</v>
      </c>
      <c r="C493">
        <v>11</v>
      </c>
      <c r="D493">
        <v>11.6</v>
      </c>
      <c r="E493">
        <v>20.399999999999999</v>
      </c>
      <c r="F493">
        <v>4.8</v>
      </c>
      <c r="G493">
        <v>27.5</v>
      </c>
    </row>
    <row r="494" spans="2:7" x14ac:dyDescent="0.2">
      <c r="B494">
        <v>2002</v>
      </c>
      <c r="C494">
        <v>12</v>
      </c>
      <c r="D494">
        <v>7.2</v>
      </c>
      <c r="E494">
        <v>18.7</v>
      </c>
      <c r="F494">
        <v>0</v>
      </c>
      <c r="G494">
        <v>94.5</v>
      </c>
    </row>
    <row r="495" spans="2:7" x14ac:dyDescent="0.2">
      <c r="B495">
        <v>2003</v>
      </c>
      <c r="C495">
        <v>1</v>
      </c>
      <c r="D495">
        <v>5.5</v>
      </c>
      <c r="E495">
        <v>13.8</v>
      </c>
      <c r="F495">
        <v>-0.8</v>
      </c>
      <c r="G495">
        <v>101</v>
      </c>
    </row>
    <row r="496" spans="2:7" x14ac:dyDescent="0.2">
      <c r="B496">
        <v>2003</v>
      </c>
      <c r="C496">
        <v>2</v>
      </c>
      <c r="D496">
        <v>6.4</v>
      </c>
      <c r="E496">
        <v>14.5</v>
      </c>
      <c r="F496">
        <v>0.9</v>
      </c>
      <c r="G496">
        <v>53.5</v>
      </c>
    </row>
    <row r="497" spans="2:7" x14ac:dyDescent="0.2">
      <c r="B497">
        <v>2003</v>
      </c>
      <c r="C497">
        <v>3</v>
      </c>
      <c r="D497">
        <v>8.6999999999999993</v>
      </c>
      <c r="E497">
        <v>20.399999999999999</v>
      </c>
      <c r="F497">
        <v>1.1000000000000001</v>
      </c>
      <c r="G497">
        <v>159.5</v>
      </c>
    </row>
    <row r="498" spans="2:7" x14ac:dyDescent="0.2">
      <c r="B498">
        <v>2003</v>
      </c>
      <c r="C498">
        <v>4</v>
      </c>
      <c r="D498">
        <v>15.1</v>
      </c>
      <c r="E498">
        <v>27.9</v>
      </c>
      <c r="F498">
        <v>5.6</v>
      </c>
      <c r="G498">
        <v>121</v>
      </c>
    </row>
    <row r="499" spans="2:7" x14ac:dyDescent="0.2">
      <c r="B499">
        <v>2003</v>
      </c>
      <c r="C499">
        <v>5</v>
      </c>
      <c r="D499">
        <v>18.8</v>
      </c>
      <c r="E499">
        <v>26.9</v>
      </c>
      <c r="F499">
        <v>10.5</v>
      </c>
      <c r="G499">
        <v>172.5</v>
      </c>
    </row>
    <row r="500" spans="2:7" x14ac:dyDescent="0.2">
      <c r="B500">
        <v>2003</v>
      </c>
      <c r="C500">
        <v>6</v>
      </c>
      <c r="D500">
        <v>23.2</v>
      </c>
      <c r="E500">
        <v>33.299999999999997</v>
      </c>
      <c r="F500">
        <v>16.399999999999999</v>
      </c>
      <c r="G500">
        <v>85</v>
      </c>
    </row>
    <row r="501" spans="2:7" x14ac:dyDescent="0.2">
      <c r="B501">
        <v>2003</v>
      </c>
      <c r="C501">
        <v>7</v>
      </c>
      <c r="D501">
        <v>22.8</v>
      </c>
      <c r="E501">
        <v>31.9</v>
      </c>
      <c r="F501">
        <v>17.7</v>
      </c>
      <c r="G501">
        <v>187.5</v>
      </c>
    </row>
    <row r="502" spans="2:7" x14ac:dyDescent="0.2">
      <c r="B502">
        <v>2003</v>
      </c>
      <c r="C502">
        <v>8</v>
      </c>
      <c r="D502">
        <v>26</v>
      </c>
      <c r="E502">
        <v>34.299999999999997</v>
      </c>
      <c r="F502">
        <v>18.399999999999999</v>
      </c>
      <c r="G502">
        <v>370</v>
      </c>
    </row>
    <row r="503" spans="2:7" x14ac:dyDescent="0.2">
      <c r="B503">
        <v>2003</v>
      </c>
      <c r="C503">
        <v>9</v>
      </c>
      <c r="D503">
        <v>24.2</v>
      </c>
      <c r="E503">
        <v>34.299999999999997</v>
      </c>
      <c r="F503">
        <v>13.9</v>
      </c>
      <c r="G503">
        <v>150</v>
      </c>
    </row>
    <row r="504" spans="2:7" x14ac:dyDescent="0.2">
      <c r="B504">
        <v>2003</v>
      </c>
      <c r="C504">
        <v>10</v>
      </c>
      <c r="D504">
        <v>17.8</v>
      </c>
      <c r="E504">
        <v>28.7</v>
      </c>
      <c r="F504">
        <v>12.1</v>
      </c>
      <c r="G504">
        <v>171.5</v>
      </c>
    </row>
    <row r="505" spans="2:7" x14ac:dyDescent="0.2">
      <c r="B505">
        <v>2003</v>
      </c>
      <c r="C505">
        <v>11</v>
      </c>
      <c r="D505">
        <v>14.4</v>
      </c>
      <c r="E505">
        <v>24.8</v>
      </c>
      <c r="F505">
        <v>7.3</v>
      </c>
      <c r="G505">
        <v>229.5</v>
      </c>
    </row>
    <row r="506" spans="2:7" x14ac:dyDescent="0.2">
      <c r="B506">
        <v>2003</v>
      </c>
      <c r="C506">
        <v>12</v>
      </c>
      <c r="D506">
        <v>9.1999999999999993</v>
      </c>
      <c r="E506">
        <v>19</v>
      </c>
      <c r="F506">
        <v>0.7</v>
      </c>
      <c r="G506">
        <v>53</v>
      </c>
    </row>
    <row r="507" spans="2:7" x14ac:dyDescent="0.2">
      <c r="B507">
        <v>2004</v>
      </c>
      <c r="C507">
        <v>1</v>
      </c>
      <c r="D507">
        <v>6.3</v>
      </c>
      <c r="E507">
        <v>14.2</v>
      </c>
      <c r="F507">
        <v>0.2</v>
      </c>
      <c r="G507">
        <v>3.5</v>
      </c>
    </row>
    <row r="508" spans="2:7" x14ac:dyDescent="0.2">
      <c r="B508">
        <v>2004</v>
      </c>
      <c r="C508">
        <v>2</v>
      </c>
      <c r="D508">
        <v>8.5</v>
      </c>
      <c r="E508">
        <v>21.6</v>
      </c>
      <c r="F508">
        <v>0.2</v>
      </c>
      <c r="G508">
        <v>20</v>
      </c>
    </row>
    <row r="509" spans="2:7" x14ac:dyDescent="0.2">
      <c r="B509">
        <v>2004</v>
      </c>
      <c r="C509">
        <v>3</v>
      </c>
      <c r="D509">
        <v>9.8000000000000007</v>
      </c>
      <c r="E509">
        <v>21.9</v>
      </c>
      <c r="F509">
        <v>1.6</v>
      </c>
      <c r="G509">
        <v>129.5</v>
      </c>
    </row>
    <row r="510" spans="2:7" x14ac:dyDescent="0.2">
      <c r="B510">
        <v>2004</v>
      </c>
      <c r="C510">
        <v>4</v>
      </c>
      <c r="D510">
        <v>16.399999999999999</v>
      </c>
      <c r="E510">
        <v>28.9</v>
      </c>
      <c r="F510">
        <v>3.1</v>
      </c>
      <c r="G510">
        <v>69.5</v>
      </c>
    </row>
    <row r="511" spans="2:7" x14ac:dyDescent="0.2">
      <c r="B511">
        <v>2004</v>
      </c>
      <c r="C511">
        <v>5</v>
      </c>
      <c r="D511">
        <v>19.600000000000001</v>
      </c>
      <c r="E511">
        <v>31.7</v>
      </c>
      <c r="F511">
        <v>10.5</v>
      </c>
      <c r="G511">
        <v>149</v>
      </c>
    </row>
    <row r="512" spans="2:7" x14ac:dyDescent="0.2">
      <c r="B512">
        <v>2004</v>
      </c>
      <c r="C512">
        <v>6</v>
      </c>
      <c r="D512">
        <v>23.7</v>
      </c>
      <c r="E512">
        <v>32.299999999999997</v>
      </c>
      <c r="F512">
        <v>16.3</v>
      </c>
      <c r="G512">
        <v>112.5</v>
      </c>
    </row>
    <row r="513" spans="2:7" x14ac:dyDescent="0.2">
      <c r="B513">
        <v>2004</v>
      </c>
      <c r="C513">
        <v>7</v>
      </c>
      <c r="D513">
        <v>28.5</v>
      </c>
      <c r="E513">
        <v>39.5</v>
      </c>
      <c r="F513">
        <v>19.100000000000001</v>
      </c>
      <c r="G513">
        <v>23.5</v>
      </c>
    </row>
    <row r="514" spans="2:7" x14ac:dyDescent="0.2">
      <c r="B514">
        <v>2004</v>
      </c>
      <c r="C514">
        <v>8</v>
      </c>
      <c r="D514">
        <v>27.2</v>
      </c>
      <c r="E514">
        <v>36.5</v>
      </c>
      <c r="F514">
        <v>18.100000000000001</v>
      </c>
      <c r="G514">
        <v>79.5</v>
      </c>
    </row>
    <row r="515" spans="2:7" x14ac:dyDescent="0.2">
      <c r="B515">
        <v>2004</v>
      </c>
      <c r="C515">
        <v>9</v>
      </c>
      <c r="D515">
        <v>25.1</v>
      </c>
      <c r="E515">
        <v>33.6</v>
      </c>
      <c r="F515">
        <v>18.399999999999999</v>
      </c>
      <c r="G515">
        <v>195</v>
      </c>
    </row>
    <row r="516" spans="2:7" x14ac:dyDescent="0.2">
      <c r="B516">
        <v>2004</v>
      </c>
      <c r="C516">
        <v>10</v>
      </c>
      <c r="D516">
        <v>17.5</v>
      </c>
      <c r="E516">
        <v>28.2</v>
      </c>
      <c r="F516">
        <v>8.6</v>
      </c>
      <c r="G516">
        <v>780</v>
      </c>
    </row>
    <row r="517" spans="2:7" x14ac:dyDescent="0.2">
      <c r="B517">
        <v>2004</v>
      </c>
      <c r="C517">
        <v>11</v>
      </c>
      <c r="D517">
        <v>15.6</v>
      </c>
      <c r="E517">
        <v>23.2</v>
      </c>
      <c r="F517">
        <v>8.3000000000000007</v>
      </c>
      <c r="G517">
        <v>108.5</v>
      </c>
    </row>
    <row r="518" spans="2:7" x14ac:dyDescent="0.2">
      <c r="B518">
        <v>2004</v>
      </c>
      <c r="C518">
        <v>12</v>
      </c>
      <c r="D518">
        <v>9.9</v>
      </c>
      <c r="E518">
        <v>24.8</v>
      </c>
      <c r="F518">
        <v>0.2</v>
      </c>
      <c r="G518">
        <v>79.5</v>
      </c>
    </row>
    <row r="519" spans="2:7" x14ac:dyDescent="0.2">
      <c r="B519">
        <v>2005</v>
      </c>
      <c r="C519">
        <v>1</v>
      </c>
      <c r="D519">
        <v>6.1</v>
      </c>
      <c r="E519">
        <v>18.5</v>
      </c>
      <c r="F519">
        <v>-0.8</v>
      </c>
      <c r="G519">
        <v>77</v>
      </c>
    </row>
    <row r="520" spans="2:7" x14ac:dyDescent="0.2">
      <c r="B520">
        <v>2005</v>
      </c>
      <c r="C520">
        <v>2</v>
      </c>
      <c r="D520">
        <v>6.2</v>
      </c>
      <c r="E520">
        <v>19.399999999999999</v>
      </c>
      <c r="F520">
        <v>-0.3</v>
      </c>
      <c r="G520">
        <v>48</v>
      </c>
    </row>
    <row r="521" spans="2:7" x14ac:dyDescent="0.2">
      <c r="B521">
        <v>2005</v>
      </c>
      <c r="C521">
        <v>3</v>
      </c>
      <c r="D521">
        <v>9</v>
      </c>
      <c r="E521">
        <v>19.3</v>
      </c>
      <c r="F521">
        <v>0.5</v>
      </c>
      <c r="G521">
        <v>71</v>
      </c>
    </row>
    <row r="522" spans="2:7" x14ac:dyDescent="0.2">
      <c r="B522">
        <v>2005</v>
      </c>
      <c r="C522">
        <v>4</v>
      </c>
      <c r="D522">
        <v>15.1</v>
      </c>
      <c r="E522">
        <v>28.1</v>
      </c>
      <c r="F522">
        <v>4.5999999999999996</v>
      </c>
      <c r="G522">
        <v>81</v>
      </c>
    </row>
    <row r="523" spans="2:7" x14ac:dyDescent="0.2">
      <c r="B523">
        <v>2005</v>
      </c>
      <c r="C523">
        <v>5</v>
      </c>
      <c r="D523">
        <v>17.7</v>
      </c>
      <c r="E523">
        <v>27.2</v>
      </c>
      <c r="F523">
        <v>9.3000000000000007</v>
      </c>
      <c r="G523">
        <v>180.5</v>
      </c>
    </row>
    <row r="524" spans="2:7" x14ac:dyDescent="0.2">
      <c r="B524">
        <v>2005</v>
      </c>
      <c r="C524">
        <v>6</v>
      </c>
      <c r="D524">
        <v>23.2</v>
      </c>
      <c r="E524">
        <v>36.200000000000003</v>
      </c>
      <c r="F524">
        <v>16.2</v>
      </c>
      <c r="G524">
        <v>170.5</v>
      </c>
    </row>
    <row r="525" spans="2:7" x14ac:dyDescent="0.2">
      <c r="B525">
        <v>2005</v>
      </c>
      <c r="C525">
        <v>7</v>
      </c>
      <c r="D525">
        <v>25.6</v>
      </c>
      <c r="E525">
        <v>35.6</v>
      </c>
      <c r="F525">
        <v>18.5</v>
      </c>
      <c r="G525">
        <v>247.5</v>
      </c>
    </row>
    <row r="526" spans="2:7" x14ac:dyDescent="0.2">
      <c r="B526">
        <v>2005</v>
      </c>
      <c r="C526">
        <v>8</v>
      </c>
      <c r="D526">
        <v>28.1</v>
      </c>
      <c r="E526">
        <v>35.799999999999997</v>
      </c>
      <c r="F526">
        <v>21.9</v>
      </c>
      <c r="G526">
        <v>189.5</v>
      </c>
    </row>
    <row r="527" spans="2:7" x14ac:dyDescent="0.2">
      <c r="B527">
        <v>2005</v>
      </c>
      <c r="C527">
        <v>9</v>
      </c>
      <c r="D527">
        <v>24.7</v>
      </c>
      <c r="E527">
        <v>33.1</v>
      </c>
      <c r="F527">
        <v>16.899999999999999</v>
      </c>
      <c r="G527">
        <v>177.5</v>
      </c>
    </row>
    <row r="528" spans="2:7" x14ac:dyDescent="0.2">
      <c r="B528">
        <v>2005</v>
      </c>
      <c r="C528">
        <v>10</v>
      </c>
      <c r="D528">
        <v>19.2</v>
      </c>
      <c r="E528">
        <v>31.7</v>
      </c>
      <c r="F528">
        <v>12.7</v>
      </c>
      <c r="G528">
        <v>201.5</v>
      </c>
    </row>
    <row r="529" spans="2:7" x14ac:dyDescent="0.2">
      <c r="B529">
        <v>2005</v>
      </c>
      <c r="C529">
        <v>11</v>
      </c>
      <c r="D529">
        <v>13.3</v>
      </c>
      <c r="E529">
        <v>24.1</v>
      </c>
      <c r="F529">
        <v>5.2</v>
      </c>
      <c r="G529">
        <v>34.5</v>
      </c>
    </row>
    <row r="530" spans="2:7" x14ac:dyDescent="0.2">
      <c r="B530">
        <v>2005</v>
      </c>
      <c r="C530">
        <v>12</v>
      </c>
      <c r="D530">
        <v>6.4</v>
      </c>
      <c r="E530">
        <v>15.9</v>
      </c>
      <c r="F530">
        <v>-0.8</v>
      </c>
      <c r="G530">
        <v>3.5</v>
      </c>
    </row>
    <row r="531" spans="2:7" x14ac:dyDescent="0.2">
      <c r="B531">
        <v>2006</v>
      </c>
      <c r="C531">
        <v>1</v>
      </c>
      <c r="D531">
        <v>5.0999999999999996</v>
      </c>
      <c r="E531">
        <v>14.7</v>
      </c>
      <c r="F531">
        <v>-1.1000000000000001</v>
      </c>
      <c r="G531">
        <v>67</v>
      </c>
    </row>
    <row r="532" spans="2:7" x14ac:dyDescent="0.2">
      <c r="B532">
        <v>2006</v>
      </c>
      <c r="C532">
        <v>2</v>
      </c>
      <c r="D532">
        <v>6.7</v>
      </c>
      <c r="E532">
        <v>19.899999999999999</v>
      </c>
      <c r="F532">
        <v>-1.5</v>
      </c>
      <c r="G532">
        <v>113</v>
      </c>
    </row>
    <row r="533" spans="2:7" x14ac:dyDescent="0.2">
      <c r="B533">
        <v>2006</v>
      </c>
      <c r="C533">
        <v>3</v>
      </c>
      <c r="D533">
        <v>9.8000000000000007</v>
      </c>
      <c r="E533">
        <v>19</v>
      </c>
      <c r="F533">
        <v>1.5</v>
      </c>
      <c r="G533">
        <v>79.5</v>
      </c>
    </row>
    <row r="534" spans="2:7" x14ac:dyDescent="0.2">
      <c r="B534">
        <v>2006</v>
      </c>
      <c r="C534">
        <v>4</v>
      </c>
      <c r="D534">
        <v>13.6</v>
      </c>
      <c r="E534">
        <v>22.4</v>
      </c>
      <c r="F534">
        <v>6.3</v>
      </c>
      <c r="G534">
        <v>123</v>
      </c>
    </row>
    <row r="535" spans="2:7" x14ac:dyDescent="0.2">
      <c r="B535">
        <v>2006</v>
      </c>
      <c r="C535">
        <v>5</v>
      </c>
      <c r="D535">
        <v>19</v>
      </c>
      <c r="E535">
        <v>29.4</v>
      </c>
      <c r="F535">
        <v>9.1999999999999993</v>
      </c>
      <c r="G535">
        <v>99</v>
      </c>
    </row>
    <row r="536" spans="2:7" x14ac:dyDescent="0.2">
      <c r="B536">
        <v>2006</v>
      </c>
      <c r="C536">
        <v>6</v>
      </c>
      <c r="D536">
        <v>22.5</v>
      </c>
      <c r="E536">
        <v>31.5</v>
      </c>
      <c r="F536">
        <v>15.5</v>
      </c>
      <c r="G536">
        <v>138.5</v>
      </c>
    </row>
    <row r="537" spans="2:7" x14ac:dyDescent="0.2">
      <c r="B537">
        <v>2006</v>
      </c>
      <c r="C537">
        <v>7</v>
      </c>
      <c r="D537">
        <v>25.6</v>
      </c>
      <c r="E537">
        <v>36.1</v>
      </c>
      <c r="F537">
        <v>20.3</v>
      </c>
      <c r="G537">
        <v>165</v>
      </c>
    </row>
    <row r="538" spans="2:7" x14ac:dyDescent="0.2">
      <c r="B538">
        <v>2006</v>
      </c>
      <c r="C538">
        <v>8</v>
      </c>
      <c r="D538">
        <v>27.5</v>
      </c>
      <c r="E538">
        <v>35.4</v>
      </c>
      <c r="F538">
        <v>20.2</v>
      </c>
      <c r="G538">
        <v>126</v>
      </c>
    </row>
    <row r="539" spans="2:7" x14ac:dyDescent="0.2">
      <c r="B539">
        <v>2006</v>
      </c>
      <c r="C539">
        <v>9</v>
      </c>
      <c r="D539">
        <v>23.5</v>
      </c>
      <c r="E539">
        <v>34.799999999999997</v>
      </c>
      <c r="F539">
        <v>16.600000000000001</v>
      </c>
      <c r="G539">
        <v>175.5</v>
      </c>
    </row>
    <row r="540" spans="2:7" x14ac:dyDescent="0.2">
      <c r="B540">
        <v>2006</v>
      </c>
      <c r="C540">
        <v>10</v>
      </c>
      <c r="D540">
        <v>19.5</v>
      </c>
      <c r="E540">
        <v>27</v>
      </c>
      <c r="F540">
        <v>12.1</v>
      </c>
      <c r="G540">
        <v>318</v>
      </c>
    </row>
    <row r="541" spans="2:7" x14ac:dyDescent="0.2">
      <c r="B541">
        <v>2006</v>
      </c>
      <c r="C541">
        <v>11</v>
      </c>
      <c r="D541">
        <v>14.4</v>
      </c>
      <c r="E541">
        <v>24.9</v>
      </c>
      <c r="F541">
        <v>5.8</v>
      </c>
      <c r="G541">
        <v>135</v>
      </c>
    </row>
    <row r="542" spans="2:7" x14ac:dyDescent="0.2">
      <c r="B542">
        <v>2006</v>
      </c>
      <c r="C542">
        <v>12</v>
      </c>
      <c r="D542">
        <v>9.5</v>
      </c>
      <c r="E542">
        <v>20.3</v>
      </c>
      <c r="F542">
        <v>3.7</v>
      </c>
      <c r="G542">
        <v>200.5</v>
      </c>
    </row>
    <row r="543" spans="2:7" x14ac:dyDescent="0.2">
      <c r="B543">
        <v>2007</v>
      </c>
      <c r="C543">
        <v>1</v>
      </c>
      <c r="D543">
        <v>7.6</v>
      </c>
      <c r="E543">
        <v>15</v>
      </c>
      <c r="F543">
        <v>2</v>
      </c>
      <c r="G543">
        <v>42</v>
      </c>
    </row>
    <row r="544" spans="2:7" x14ac:dyDescent="0.2">
      <c r="B544">
        <v>2007</v>
      </c>
      <c r="C544">
        <v>2</v>
      </c>
      <c r="D544">
        <v>8.6</v>
      </c>
      <c r="E544">
        <v>17.3</v>
      </c>
      <c r="F544">
        <v>0.2</v>
      </c>
      <c r="G544">
        <v>57</v>
      </c>
    </row>
    <row r="545" spans="2:7" x14ac:dyDescent="0.2">
      <c r="B545">
        <v>2007</v>
      </c>
      <c r="C545">
        <v>3</v>
      </c>
      <c r="D545">
        <v>10.8</v>
      </c>
      <c r="E545">
        <v>24.1</v>
      </c>
      <c r="F545">
        <v>2.6</v>
      </c>
      <c r="G545">
        <v>77</v>
      </c>
    </row>
    <row r="546" spans="2:7" x14ac:dyDescent="0.2">
      <c r="B546">
        <v>2007</v>
      </c>
      <c r="C546">
        <v>4</v>
      </c>
      <c r="D546">
        <v>13.7</v>
      </c>
      <c r="E546">
        <v>25.8</v>
      </c>
      <c r="F546">
        <v>4</v>
      </c>
      <c r="G546">
        <v>134</v>
      </c>
    </row>
    <row r="547" spans="2:7" x14ac:dyDescent="0.2">
      <c r="B547">
        <v>2007</v>
      </c>
      <c r="C547">
        <v>5</v>
      </c>
      <c r="D547">
        <v>19.8</v>
      </c>
      <c r="E547">
        <v>29</v>
      </c>
      <c r="F547">
        <v>13</v>
      </c>
      <c r="G547">
        <v>115.5</v>
      </c>
    </row>
    <row r="548" spans="2:7" x14ac:dyDescent="0.2">
      <c r="B548">
        <v>2007</v>
      </c>
      <c r="C548">
        <v>6</v>
      </c>
      <c r="D548">
        <v>23.2</v>
      </c>
      <c r="E548">
        <v>31.5</v>
      </c>
      <c r="F548">
        <v>15.7</v>
      </c>
      <c r="G548">
        <v>80</v>
      </c>
    </row>
    <row r="549" spans="2:7" x14ac:dyDescent="0.2">
      <c r="B549">
        <v>2007</v>
      </c>
      <c r="C549">
        <v>7</v>
      </c>
      <c r="D549">
        <v>24.4</v>
      </c>
      <c r="E549">
        <v>32.700000000000003</v>
      </c>
      <c r="F549">
        <v>18.2</v>
      </c>
      <c r="G549">
        <v>253</v>
      </c>
    </row>
    <row r="550" spans="2:7" x14ac:dyDescent="0.2">
      <c r="B550">
        <v>2007</v>
      </c>
      <c r="C550">
        <v>8</v>
      </c>
      <c r="D550">
        <v>29</v>
      </c>
      <c r="E550">
        <v>37.5</v>
      </c>
      <c r="F550">
        <v>23.1</v>
      </c>
      <c r="G550">
        <v>9.5</v>
      </c>
    </row>
    <row r="551" spans="2:7" x14ac:dyDescent="0.2">
      <c r="B551">
        <v>2007</v>
      </c>
      <c r="C551">
        <v>9</v>
      </c>
      <c r="D551">
        <v>25.2</v>
      </c>
      <c r="E551">
        <v>32.9</v>
      </c>
      <c r="F551">
        <v>15.7</v>
      </c>
      <c r="G551">
        <v>319.5</v>
      </c>
    </row>
    <row r="552" spans="2:7" x14ac:dyDescent="0.2">
      <c r="B552">
        <v>2007</v>
      </c>
      <c r="C552">
        <v>10</v>
      </c>
      <c r="D552">
        <v>19</v>
      </c>
      <c r="E552">
        <v>26.5</v>
      </c>
      <c r="F552">
        <v>12.8</v>
      </c>
      <c r="G552">
        <v>135.5</v>
      </c>
    </row>
    <row r="553" spans="2:7" x14ac:dyDescent="0.2">
      <c r="B553">
        <v>2007</v>
      </c>
      <c r="C553">
        <v>11</v>
      </c>
      <c r="D553">
        <v>13.3</v>
      </c>
      <c r="E553">
        <v>21.2</v>
      </c>
      <c r="F553">
        <v>4.5999999999999996</v>
      </c>
      <c r="G553">
        <v>37</v>
      </c>
    </row>
    <row r="554" spans="2:7" x14ac:dyDescent="0.2">
      <c r="B554">
        <v>2007</v>
      </c>
      <c r="C554">
        <v>12</v>
      </c>
      <c r="D554">
        <v>9</v>
      </c>
      <c r="E554">
        <v>15.8</v>
      </c>
      <c r="F554">
        <v>2.7</v>
      </c>
      <c r="G554">
        <v>72</v>
      </c>
    </row>
    <row r="555" spans="2:7" x14ac:dyDescent="0.2">
      <c r="B555">
        <v>2008</v>
      </c>
      <c r="C555">
        <v>1</v>
      </c>
      <c r="D555">
        <v>5.9</v>
      </c>
      <c r="E555">
        <v>13.9</v>
      </c>
      <c r="F555">
        <v>0.8</v>
      </c>
      <c r="G555">
        <v>17.5</v>
      </c>
    </row>
    <row r="556" spans="2:7" x14ac:dyDescent="0.2">
      <c r="B556">
        <v>2008</v>
      </c>
      <c r="C556">
        <v>2</v>
      </c>
      <c r="D556">
        <v>5.5</v>
      </c>
      <c r="E556">
        <v>17</v>
      </c>
      <c r="F556">
        <v>-0.1</v>
      </c>
      <c r="G556">
        <v>57</v>
      </c>
    </row>
    <row r="557" spans="2:7" x14ac:dyDescent="0.2">
      <c r="B557">
        <v>2008</v>
      </c>
      <c r="C557">
        <v>3</v>
      </c>
      <c r="D557">
        <v>10.7</v>
      </c>
      <c r="E557">
        <v>20.399999999999999</v>
      </c>
      <c r="F557">
        <v>2.8</v>
      </c>
      <c r="G557">
        <v>119.5</v>
      </c>
    </row>
    <row r="558" spans="2:7" x14ac:dyDescent="0.2">
      <c r="B558">
        <v>2008</v>
      </c>
      <c r="C558">
        <v>4</v>
      </c>
      <c r="D558">
        <v>14.7</v>
      </c>
      <c r="E558">
        <v>25.8</v>
      </c>
      <c r="F558">
        <v>6.5</v>
      </c>
      <c r="G558">
        <v>240</v>
      </c>
    </row>
    <row r="559" spans="2:7" x14ac:dyDescent="0.2">
      <c r="B559">
        <v>2008</v>
      </c>
      <c r="C559">
        <v>5</v>
      </c>
      <c r="D559">
        <v>18.5</v>
      </c>
      <c r="E559">
        <v>29</v>
      </c>
      <c r="F559">
        <v>9.1999999999999993</v>
      </c>
      <c r="G559">
        <v>255</v>
      </c>
    </row>
    <row r="560" spans="2:7" x14ac:dyDescent="0.2">
      <c r="B560">
        <v>2008</v>
      </c>
      <c r="C560">
        <v>6</v>
      </c>
      <c r="D560">
        <v>21.3</v>
      </c>
      <c r="E560">
        <v>29.1</v>
      </c>
      <c r="F560">
        <v>13.4</v>
      </c>
      <c r="G560">
        <v>225.5</v>
      </c>
    </row>
    <row r="561" spans="2:7" x14ac:dyDescent="0.2">
      <c r="B561">
        <v>2008</v>
      </c>
      <c r="C561">
        <v>7</v>
      </c>
      <c r="D561">
        <v>27</v>
      </c>
      <c r="E561">
        <v>34.5</v>
      </c>
      <c r="F561">
        <v>18.600000000000001</v>
      </c>
      <c r="G561">
        <v>48</v>
      </c>
    </row>
    <row r="562" spans="2:7" x14ac:dyDescent="0.2">
      <c r="B562">
        <v>2008</v>
      </c>
      <c r="C562">
        <v>8</v>
      </c>
      <c r="D562">
        <v>26.8</v>
      </c>
      <c r="E562">
        <v>35.299999999999997</v>
      </c>
      <c r="F562">
        <v>19.600000000000001</v>
      </c>
      <c r="G562">
        <v>387.5</v>
      </c>
    </row>
    <row r="563" spans="2:7" x14ac:dyDescent="0.2">
      <c r="B563">
        <v>2008</v>
      </c>
      <c r="C563">
        <v>9</v>
      </c>
      <c r="D563">
        <v>24.4</v>
      </c>
      <c r="E563">
        <v>32.299999999999997</v>
      </c>
      <c r="F563">
        <v>15.4</v>
      </c>
      <c r="G563">
        <v>158.5</v>
      </c>
    </row>
    <row r="564" spans="2:7" x14ac:dyDescent="0.2">
      <c r="B564">
        <v>2008</v>
      </c>
      <c r="C564">
        <v>10</v>
      </c>
      <c r="D564">
        <v>19.399999999999999</v>
      </c>
      <c r="E564">
        <v>25.2</v>
      </c>
      <c r="F564">
        <v>11.5</v>
      </c>
      <c r="G564">
        <v>204.5</v>
      </c>
    </row>
    <row r="565" spans="2:7" x14ac:dyDescent="0.2">
      <c r="B565">
        <v>2008</v>
      </c>
      <c r="C565">
        <v>11</v>
      </c>
      <c r="D565">
        <v>13.1</v>
      </c>
      <c r="E565">
        <v>22.3</v>
      </c>
      <c r="F565">
        <v>5.5</v>
      </c>
      <c r="G565">
        <v>74</v>
      </c>
    </row>
    <row r="566" spans="2:7" x14ac:dyDescent="0.2">
      <c r="B566">
        <v>2008</v>
      </c>
      <c r="C566">
        <v>12</v>
      </c>
      <c r="D566">
        <v>9.8000000000000007</v>
      </c>
      <c r="E566">
        <v>19.899999999999999</v>
      </c>
      <c r="F566">
        <v>1.8</v>
      </c>
      <c r="G566">
        <v>70.5</v>
      </c>
    </row>
    <row r="567" spans="2:7" x14ac:dyDescent="0.2">
      <c r="B567">
        <v>2009</v>
      </c>
      <c r="C567">
        <v>1</v>
      </c>
      <c r="D567">
        <v>6.8</v>
      </c>
      <c r="E567">
        <v>15.3</v>
      </c>
      <c r="F567">
        <v>0</v>
      </c>
      <c r="G567">
        <v>142</v>
      </c>
    </row>
    <row r="568" spans="2:7" x14ac:dyDescent="0.2">
      <c r="B568">
        <v>2009</v>
      </c>
      <c r="C568">
        <v>2</v>
      </c>
      <c r="D568">
        <v>7.8</v>
      </c>
      <c r="E568">
        <v>23.9</v>
      </c>
      <c r="F568">
        <v>1.4</v>
      </c>
      <c r="G568">
        <v>46.5</v>
      </c>
    </row>
    <row r="569" spans="2:7" x14ac:dyDescent="0.2">
      <c r="B569">
        <v>2009</v>
      </c>
      <c r="C569">
        <v>3</v>
      </c>
      <c r="D569">
        <v>10</v>
      </c>
      <c r="E569">
        <v>23.2</v>
      </c>
      <c r="F569">
        <v>1.1000000000000001</v>
      </c>
      <c r="G569">
        <v>98.5</v>
      </c>
    </row>
    <row r="570" spans="2:7" x14ac:dyDescent="0.2">
      <c r="B570">
        <v>2009</v>
      </c>
      <c r="C570">
        <v>4</v>
      </c>
      <c r="D570">
        <v>15.7</v>
      </c>
      <c r="E570">
        <v>26.1</v>
      </c>
      <c r="F570">
        <v>5.4</v>
      </c>
      <c r="G570">
        <v>162.5</v>
      </c>
    </row>
    <row r="571" spans="2:7" x14ac:dyDescent="0.2">
      <c r="B571">
        <v>2009</v>
      </c>
      <c r="C571">
        <v>5</v>
      </c>
      <c r="D571">
        <v>20.100000000000001</v>
      </c>
      <c r="E571">
        <v>29.3</v>
      </c>
      <c r="F571">
        <v>12.6</v>
      </c>
      <c r="G571">
        <v>242</v>
      </c>
    </row>
    <row r="572" spans="2:7" x14ac:dyDescent="0.2">
      <c r="B572">
        <v>2009</v>
      </c>
      <c r="C572">
        <v>6</v>
      </c>
      <c r="D572">
        <v>22.5</v>
      </c>
      <c r="E572">
        <v>31.9</v>
      </c>
      <c r="F572">
        <v>15.5</v>
      </c>
      <c r="G572">
        <v>226</v>
      </c>
    </row>
    <row r="573" spans="2:7" x14ac:dyDescent="0.2">
      <c r="B573">
        <v>2009</v>
      </c>
      <c r="C573">
        <v>7</v>
      </c>
      <c r="D573">
        <v>26.3</v>
      </c>
      <c r="E573">
        <v>34.200000000000003</v>
      </c>
      <c r="F573">
        <v>20.2</v>
      </c>
      <c r="G573">
        <v>78.5</v>
      </c>
    </row>
    <row r="574" spans="2:7" x14ac:dyDescent="0.2">
      <c r="B574">
        <v>2009</v>
      </c>
      <c r="C574">
        <v>8</v>
      </c>
      <c r="D574">
        <v>26.6</v>
      </c>
      <c r="E574">
        <v>33.200000000000003</v>
      </c>
      <c r="F574">
        <v>17.600000000000001</v>
      </c>
      <c r="G574">
        <v>242</v>
      </c>
    </row>
    <row r="575" spans="2:7" x14ac:dyDescent="0.2">
      <c r="B575">
        <v>2009</v>
      </c>
      <c r="C575">
        <v>9</v>
      </c>
      <c r="D575">
        <v>23</v>
      </c>
      <c r="E575">
        <v>31.5</v>
      </c>
      <c r="F575">
        <v>17.7</v>
      </c>
      <c r="G575">
        <v>53</v>
      </c>
    </row>
    <row r="576" spans="2:7" x14ac:dyDescent="0.2">
      <c r="B576">
        <v>2009</v>
      </c>
      <c r="C576">
        <v>10</v>
      </c>
      <c r="D576">
        <v>19</v>
      </c>
      <c r="E576">
        <v>27.1</v>
      </c>
      <c r="F576">
        <v>12.7</v>
      </c>
      <c r="G576">
        <v>276.5</v>
      </c>
    </row>
    <row r="577" spans="2:7" x14ac:dyDescent="0.2">
      <c r="B577">
        <v>2009</v>
      </c>
      <c r="C577">
        <v>11</v>
      </c>
      <c r="D577">
        <v>13.5</v>
      </c>
      <c r="E577">
        <v>25.9</v>
      </c>
      <c r="F577">
        <v>5.5</v>
      </c>
      <c r="G577">
        <v>151.5</v>
      </c>
    </row>
    <row r="578" spans="2:7" x14ac:dyDescent="0.2">
      <c r="B578">
        <v>2009</v>
      </c>
      <c r="C578">
        <v>12</v>
      </c>
      <c r="D578">
        <v>9</v>
      </c>
      <c r="E578">
        <v>17.399999999999999</v>
      </c>
      <c r="F578">
        <v>1.1000000000000001</v>
      </c>
      <c r="G578">
        <v>82.5</v>
      </c>
    </row>
    <row r="579" spans="2:7" x14ac:dyDescent="0.2">
      <c r="B579">
        <v>2010</v>
      </c>
      <c r="C579">
        <v>1</v>
      </c>
      <c r="D579">
        <v>7</v>
      </c>
      <c r="E579">
        <v>18</v>
      </c>
      <c r="F579">
        <v>-0.3</v>
      </c>
      <c r="G579">
        <v>9</v>
      </c>
    </row>
    <row r="580" spans="2:7" x14ac:dyDescent="0.2">
      <c r="B580">
        <v>2010</v>
      </c>
      <c r="C580">
        <v>2</v>
      </c>
      <c r="D580">
        <v>6.5</v>
      </c>
      <c r="E580">
        <v>21</v>
      </c>
      <c r="F580">
        <v>-0.4</v>
      </c>
      <c r="G580">
        <v>115</v>
      </c>
    </row>
    <row r="581" spans="2:7" x14ac:dyDescent="0.2">
      <c r="B581">
        <v>2010</v>
      </c>
      <c r="C581">
        <v>3</v>
      </c>
      <c r="D581">
        <v>9.1</v>
      </c>
      <c r="E581">
        <v>21.6</v>
      </c>
      <c r="F581">
        <v>0.9</v>
      </c>
      <c r="G581">
        <v>143.5</v>
      </c>
    </row>
    <row r="582" spans="2:7" x14ac:dyDescent="0.2">
      <c r="B582">
        <v>2010</v>
      </c>
      <c r="C582">
        <v>4</v>
      </c>
      <c r="D582">
        <v>12.4</v>
      </c>
      <c r="E582">
        <v>25.5</v>
      </c>
      <c r="F582">
        <v>1.4</v>
      </c>
      <c r="G582">
        <v>214</v>
      </c>
    </row>
    <row r="583" spans="2:7" x14ac:dyDescent="0.2">
      <c r="B583">
        <v>2010</v>
      </c>
      <c r="C583">
        <v>5</v>
      </c>
      <c r="D583">
        <v>19</v>
      </c>
      <c r="E583">
        <v>30.9</v>
      </c>
      <c r="F583">
        <v>11.4</v>
      </c>
      <c r="G583">
        <v>114</v>
      </c>
    </row>
    <row r="584" spans="2:7" x14ac:dyDescent="0.2">
      <c r="B584">
        <v>2010</v>
      </c>
      <c r="C584">
        <v>6</v>
      </c>
      <c r="D584">
        <v>23.6</v>
      </c>
      <c r="E584">
        <v>31.8</v>
      </c>
      <c r="F584">
        <v>13.4</v>
      </c>
      <c r="G584">
        <v>108</v>
      </c>
    </row>
    <row r="585" spans="2:7" x14ac:dyDescent="0.2">
      <c r="B585">
        <v>2010</v>
      </c>
      <c r="C585">
        <v>7</v>
      </c>
      <c r="D585">
        <v>28</v>
      </c>
      <c r="E585">
        <v>36.299999999999997</v>
      </c>
      <c r="F585">
        <v>19.899999999999999</v>
      </c>
      <c r="G585">
        <v>70</v>
      </c>
    </row>
    <row r="586" spans="2:7" x14ac:dyDescent="0.2">
      <c r="B586">
        <v>2010</v>
      </c>
      <c r="C586">
        <v>8</v>
      </c>
      <c r="D586">
        <v>29.6</v>
      </c>
      <c r="E586">
        <v>37.200000000000003</v>
      </c>
      <c r="F586">
        <v>23.6</v>
      </c>
      <c r="G586">
        <v>27</v>
      </c>
    </row>
    <row r="587" spans="2:7" x14ac:dyDescent="0.2">
      <c r="B587">
        <v>2010</v>
      </c>
      <c r="C587">
        <v>9</v>
      </c>
      <c r="D587">
        <v>25.1</v>
      </c>
      <c r="E587">
        <v>35.9</v>
      </c>
      <c r="F587">
        <v>13.9</v>
      </c>
      <c r="G587">
        <v>428</v>
      </c>
    </row>
    <row r="588" spans="2:7" x14ac:dyDescent="0.2">
      <c r="B588">
        <v>2010</v>
      </c>
      <c r="C588">
        <v>10</v>
      </c>
      <c r="D588">
        <v>18.899999999999999</v>
      </c>
      <c r="E588">
        <v>28.3</v>
      </c>
      <c r="F588">
        <v>9.3000000000000007</v>
      </c>
      <c r="G588">
        <v>211</v>
      </c>
    </row>
    <row r="589" spans="2:7" x14ac:dyDescent="0.2">
      <c r="B589">
        <v>2010</v>
      </c>
      <c r="C589">
        <v>11</v>
      </c>
      <c r="D589">
        <v>13.5</v>
      </c>
      <c r="E589">
        <v>22.4</v>
      </c>
      <c r="F589">
        <v>7</v>
      </c>
      <c r="G589">
        <v>94.5</v>
      </c>
    </row>
    <row r="590" spans="2:7" x14ac:dyDescent="0.2">
      <c r="B590">
        <v>2010</v>
      </c>
      <c r="C590">
        <v>12</v>
      </c>
      <c r="D590">
        <v>9.9</v>
      </c>
      <c r="E590">
        <v>23.7</v>
      </c>
      <c r="F590">
        <v>2.1</v>
      </c>
      <c r="G590">
        <v>145.5</v>
      </c>
    </row>
    <row r="591" spans="2:7" x14ac:dyDescent="0.2">
      <c r="B591">
        <v>2011</v>
      </c>
      <c r="C591">
        <v>1</v>
      </c>
      <c r="D591">
        <v>5.0999999999999996</v>
      </c>
      <c r="E591">
        <v>12.2</v>
      </c>
      <c r="F591">
        <v>-1.1000000000000001</v>
      </c>
      <c r="G591">
        <v>3.5</v>
      </c>
    </row>
    <row r="592" spans="2:7" x14ac:dyDescent="0.2">
      <c r="B592">
        <v>2011</v>
      </c>
      <c r="C592">
        <v>2</v>
      </c>
      <c r="D592">
        <v>7</v>
      </c>
      <c r="E592">
        <v>20.8</v>
      </c>
      <c r="F592">
        <v>-0.8</v>
      </c>
      <c r="G592">
        <v>151</v>
      </c>
    </row>
    <row r="593" spans="2:7" x14ac:dyDescent="0.2">
      <c r="B593">
        <v>2011</v>
      </c>
      <c r="C593">
        <v>3</v>
      </c>
      <c r="D593">
        <v>8.1</v>
      </c>
      <c r="E593">
        <v>20.2</v>
      </c>
      <c r="F593">
        <v>1</v>
      </c>
      <c r="G593">
        <v>74</v>
      </c>
    </row>
    <row r="594" spans="2:7" x14ac:dyDescent="0.2">
      <c r="B594">
        <v>2011</v>
      </c>
      <c r="C594">
        <v>4</v>
      </c>
      <c r="D594">
        <v>14.5</v>
      </c>
      <c r="E594">
        <v>24.8</v>
      </c>
      <c r="F594">
        <v>4.3</v>
      </c>
      <c r="G594">
        <v>96</v>
      </c>
    </row>
    <row r="595" spans="2:7" x14ac:dyDescent="0.2">
      <c r="B595">
        <v>2011</v>
      </c>
      <c r="C595">
        <v>5</v>
      </c>
      <c r="D595">
        <v>18.5</v>
      </c>
      <c r="E595">
        <v>29.6</v>
      </c>
      <c r="F595">
        <v>12.2</v>
      </c>
      <c r="G595">
        <v>213.5</v>
      </c>
    </row>
    <row r="596" spans="2:7" x14ac:dyDescent="0.2">
      <c r="B596">
        <v>2011</v>
      </c>
      <c r="C596">
        <v>6</v>
      </c>
      <c r="D596">
        <v>22.8</v>
      </c>
      <c r="E596">
        <v>35.1</v>
      </c>
      <c r="F596">
        <v>12.1</v>
      </c>
      <c r="G596">
        <v>116.5</v>
      </c>
    </row>
    <row r="597" spans="2:7" x14ac:dyDescent="0.2">
      <c r="B597">
        <v>2011</v>
      </c>
      <c r="C597">
        <v>7</v>
      </c>
      <c r="D597">
        <v>27.3</v>
      </c>
      <c r="E597">
        <v>34.799999999999997</v>
      </c>
      <c r="F597">
        <v>18</v>
      </c>
      <c r="G597">
        <v>54.5</v>
      </c>
    </row>
    <row r="598" spans="2:7" x14ac:dyDescent="0.2">
      <c r="B598">
        <v>2011</v>
      </c>
      <c r="C598">
        <v>8</v>
      </c>
      <c r="D598">
        <v>27.5</v>
      </c>
      <c r="E598">
        <v>36.1</v>
      </c>
      <c r="F598">
        <v>19.3</v>
      </c>
      <c r="G598">
        <v>244</v>
      </c>
    </row>
    <row r="599" spans="2:7" x14ac:dyDescent="0.2">
      <c r="B599">
        <v>2011</v>
      </c>
      <c r="C599">
        <v>9</v>
      </c>
      <c r="D599">
        <v>25.1</v>
      </c>
      <c r="E599">
        <v>32.5</v>
      </c>
      <c r="F599">
        <v>15.9</v>
      </c>
      <c r="G599">
        <v>235</v>
      </c>
    </row>
    <row r="600" spans="2:7" x14ac:dyDescent="0.2">
      <c r="B600">
        <v>2011</v>
      </c>
      <c r="C600">
        <v>10</v>
      </c>
      <c r="D600">
        <v>19.5</v>
      </c>
      <c r="E600">
        <v>29.7</v>
      </c>
      <c r="F600">
        <v>11.2</v>
      </c>
      <c r="G600">
        <v>119.5</v>
      </c>
    </row>
    <row r="601" spans="2:7" x14ac:dyDescent="0.2">
      <c r="B601">
        <v>2011</v>
      </c>
      <c r="C601">
        <v>11</v>
      </c>
      <c r="D601">
        <v>14.9</v>
      </c>
      <c r="E601">
        <v>22.7</v>
      </c>
      <c r="F601">
        <v>7.2</v>
      </c>
      <c r="G601">
        <v>112.5</v>
      </c>
    </row>
    <row r="602" spans="2:7" x14ac:dyDescent="0.2">
      <c r="B602">
        <v>2011</v>
      </c>
      <c r="C602">
        <v>12</v>
      </c>
      <c r="D602">
        <v>7.5</v>
      </c>
      <c r="E602">
        <v>18.899999999999999</v>
      </c>
      <c r="F602">
        <v>1.5</v>
      </c>
      <c r="G602">
        <v>59.5</v>
      </c>
    </row>
    <row r="603" spans="2:7" x14ac:dyDescent="0.2">
      <c r="B603">
        <v>2012</v>
      </c>
      <c r="C603">
        <v>1</v>
      </c>
      <c r="D603">
        <v>4.8</v>
      </c>
      <c r="E603">
        <v>11.1</v>
      </c>
      <c r="F603">
        <v>-1</v>
      </c>
      <c r="G603">
        <v>50</v>
      </c>
    </row>
    <row r="604" spans="2:7" x14ac:dyDescent="0.2">
      <c r="B604">
        <v>2012</v>
      </c>
      <c r="C604">
        <v>2</v>
      </c>
      <c r="D604">
        <v>5.4</v>
      </c>
      <c r="E604">
        <v>15.4</v>
      </c>
      <c r="F604">
        <v>-1</v>
      </c>
      <c r="G604">
        <v>94</v>
      </c>
    </row>
    <row r="605" spans="2:7" x14ac:dyDescent="0.2">
      <c r="B605">
        <v>2012</v>
      </c>
      <c r="C605">
        <v>3</v>
      </c>
      <c r="D605">
        <v>8.8000000000000007</v>
      </c>
      <c r="E605">
        <v>19.399999999999999</v>
      </c>
      <c r="F605">
        <v>2</v>
      </c>
      <c r="G605">
        <v>144.5</v>
      </c>
    </row>
    <row r="606" spans="2:7" x14ac:dyDescent="0.2">
      <c r="B606">
        <v>2012</v>
      </c>
      <c r="C606">
        <v>4</v>
      </c>
      <c r="D606">
        <v>14.5</v>
      </c>
      <c r="E606">
        <v>26</v>
      </c>
      <c r="F606">
        <v>5.0999999999999996</v>
      </c>
      <c r="G606">
        <v>118.5</v>
      </c>
    </row>
    <row r="607" spans="2:7" x14ac:dyDescent="0.2">
      <c r="B607">
        <v>2012</v>
      </c>
      <c r="C607">
        <v>5</v>
      </c>
      <c r="D607">
        <v>19.600000000000001</v>
      </c>
      <c r="E607">
        <v>27.2</v>
      </c>
      <c r="F607">
        <v>11.9</v>
      </c>
      <c r="G607">
        <v>231</v>
      </c>
    </row>
    <row r="608" spans="2:7" x14ac:dyDescent="0.2">
      <c r="B608">
        <v>2012</v>
      </c>
      <c r="C608">
        <v>6</v>
      </c>
      <c r="D608">
        <v>21.4</v>
      </c>
      <c r="E608">
        <v>30.2</v>
      </c>
      <c r="F608">
        <v>15.2</v>
      </c>
      <c r="G608">
        <v>185</v>
      </c>
    </row>
    <row r="609" spans="2:7" x14ac:dyDescent="0.2">
      <c r="B609">
        <v>2012</v>
      </c>
      <c r="C609">
        <v>7</v>
      </c>
      <c r="D609">
        <v>26.4</v>
      </c>
      <c r="E609">
        <v>35.4</v>
      </c>
      <c r="F609">
        <v>17.399999999999999</v>
      </c>
      <c r="G609">
        <v>130</v>
      </c>
    </row>
    <row r="610" spans="2:7" x14ac:dyDescent="0.2">
      <c r="B610">
        <v>2012</v>
      </c>
      <c r="C610">
        <v>8</v>
      </c>
      <c r="D610">
        <v>29.1</v>
      </c>
      <c r="E610">
        <v>35.700000000000003</v>
      </c>
      <c r="F610">
        <v>22.9</v>
      </c>
      <c r="G610">
        <v>25</v>
      </c>
    </row>
    <row r="611" spans="2:7" x14ac:dyDescent="0.2">
      <c r="B611">
        <v>2012</v>
      </c>
      <c r="C611">
        <v>9</v>
      </c>
      <c r="D611">
        <v>26.2</v>
      </c>
      <c r="E611">
        <v>33.799999999999997</v>
      </c>
      <c r="F611">
        <v>18</v>
      </c>
      <c r="G611">
        <v>214.5</v>
      </c>
    </row>
    <row r="612" spans="2:7" x14ac:dyDescent="0.2">
      <c r="B612">
        <v>2012</v>
      </c>
      <c r="C612">
        <v>10</v>
      </c>
      <c r="D612">
        <v>19.399999999999999</v>
      </c>
      <c r="E612">
        <v>31</v>
      </c>
      <c r="F612">
        <v>11.8</v>
      </c>
      <c r="G612">
        <v>154.5</v>
      </c>
    </row>
    <row r="613" spans="2:7" x14ac:dyDescent="0.2">
      <c r="B613">
        <v>2012</v>
      </c>
      <c r="C613">
        <v>11</v>
      </c>
      <c r="D613">
        <v>12.7</v>
      </c>
      <c r="E613">
        <v>21.5</v>
      </c>
      <c r="F613">
        <v>4.4000000000000004</v>
      </c>
      <c r="G613">
        <v>154</v>
      </c>
    </row>
    <row r="614" spans="2:7" x14ac:dyDescent="0.2">
      <c r="B614">
        <v>2012</v>
      </c>
      <c r="C614">
        <v>12</v>
      </c>
      <c r="D614">
        <v>7.3</v>
      </c>
      <c r="E614">
        <v>18.399999999999999</v>
      </c>
      <c r="F614">
        <v>0.1</v>
      </c>
      <c r="G614">
        <v>69</v>
      </c>
    </row>
  </sheetData>
  <autoFilter ref="B2:G614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614"/>
  <sheetViews>
    <sheetView workbookViewId="0">
      <selection activeCell="G2" sqref="G2"/>
    </sheetView>
  </sheetViews>
  <sheetFormatPr baseColWidth="10" defaultColWidth="8.83203125" defaultRowHeight="15" x14ac:dyDescent="0.2"/>
  <cols>
    <col min="6" max="6" width="8.83203125" customWidth="1"/>
  </cols>
  <sheetData>
    <row r="1" spans="1:6" x14ac:dyDescent="0.2">
      <c r="C1" t="s">
        <v>0</v>
      </c>
      <c r="D1" t="s">
        <v>0</v>
      </c>
      <c r="E1" t="s">
        <v>0</v>
      </c>
      <c r="F1" t="s">
        <v>0</v>
      </c>
    </row>
    <row r="2" spans="1:6" x14ac:dyDescent="0.2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</row>
    <row r="3" spans="1:6" x14ac:dyDescent="0.2">
      <c r="A3">
        <v>1962</v>
      </c>
      <c r="B3">
        <v>1</v>
      </c>
      <c r="C3">
        <v>4.5</v>
      </c>
      <c r="D3">
        <v>13.8</v>
      </c>
      <c r="E3">
        <v>-3.8</v>
      </c>
      <c r="F3">
        <v>40.5</v>
      </c>
    </row>
    <row r="4" spans="1:6" x14ac:dyDescent="0.2">
      <c r="A4">
        <v>1962</v>
      </c>
      <c r="B4">
        <v>2</v>
      </c>
      <c r="C4">
        <v>5.9</v>
      </c>
      <c r="D4">
        <v>24.5</v>
      </c>
      <c r="E4">
        <v>-2.6</v>
      </c>
      <c r="F4">
        <v>13.5</v>
      </c>
    </row>
    <row r="5" spans="1:6" x14ac:dyDescent="0.2">
      <c r="A5">
        <v>1962</v>
      </c>
      <c r="B5">
        <v>3</v>
      </c>
      <c r="C5">
        <v>8.1999999999999993</v>
      </c>
      <c r="D5">
        <v>18.8</v>
      </c>
      <c r="E5">
        <v>-0.8</v>
      </c>
      <c r="F5">
        <v>65.5</v>
      </c>
    </row>
    <row r="6" spans="1:6" x14ac:dyDescent="0.2">
      <c r="A6">
        <v>1962</v>
      </c>
      <c r="B6">
        <v>4</v>
      </c>
      <c r="C6">
        <v>14.1</v>
      </c>
      <c r="D6">
        <v>24.5</v>
      </c>
      <c r="E6">
        <v>2.8</v>
      </c>
      <c r="F6">
        <v>124.2</v>
      </c>
    </row>
    <row r="7" spans="1:6" x14ac:dyDescent="0.2">
      <c r="A7">
        <v>1962</v>
      </c>
      <c r="B7">
        <v>5</v>
      </c>
      <c r="C7">
        <v>18.399999999999999</v>
      </c>
      <c r="D7">
        <v>28.9</v>
      </c>
      <c r="E7">
        <v>9.6999999999999993</v>
      </c>
      <c r="F7">
        <v>211.5</v>
      </c>
    </row>
    <row r="8" spans="1:6" x14ac:dyDescent="0.2">
      <c r="A8">
        <v>1962</v>
      </c>
      <c r="B8">
        <v>6</v>
      </c>
      <c r="C8">
        <v>20.9</v>
      </c>
      <c r="D8">
        <v>29.2</v>
      </c>
      <c r="E8">
        <v>12.6</v>
      </c>
      <c r="F8">
        <v>244.5</v>
      </c>
    </row>
    <row r="9" spans="1:6" x14ac:dyDescent="0.2">
      <c r="A9">
        <v>1962</v>
      </c>
      <c r="B9">
        <v>7</v>
      </c>
      <c r="C9">
        <v>25.1</v>
      </c>
      <c r="D9">
        <v>34.1</v>
      </c>
      <c r="E9">
        <v>16.600000000000001</v>
      </c>
      <c r="F9">
        <v>166.9</v>
      </c>
    </row>
    <row r="10" spans="1:6" x14ac:dyDescent="0.2">
      <c r="A10">
        <v>1962</v>
      </c>
      <c r="B10">
        <v>8</v>
      </c>
      <c r="C10">
        <v>28.1</v>
      </c>
      <c r="D10">
        <v>37.6</v>
      </c>
      <c r="E10">
        <v>21.8</v>
      </c>
      <c r="F10">
        <v>50.1</v>
      </c>
    </row>
    <row r="11" spans="1:6" x14ac:dyDescent="0.2">
      <c r="A11">
        <v>1962</v>
      </c>
      <c r="B11">
        <v>9</v>
      </c>
      <c r="C11">
        <v>24.5</v>
      </c>
      <c r="D11">
        <v>32.9</v>
      </c>
      <c r="E11">
        <v>12.2</v>
      </c>
      <c r="F11">
        <v>4.9000000000000004</v>
      </c>
    </row>
    <row r="12" spans="1:6" x14ac:dyDescent="0.2">
      <c r="A12">
        <v>1962</v>
      </c>
      <c r="B12">
        <v>10</v>
      </c>
      <c r="C12">
        <v>16.7</v>
      </c>
      <c r="D12">
        <v>29.5</v>
      </c>
      <c r="E12">
        <v>8.1999999999999993</v>
      </c>
      <c r="F12">
        <v>119.8</v>
      </c>
    </row>
    <row r="13" spans="1:6" x14ac:dyDescent="0.2">
      <c r="A13">
        <v>1962</v>
      </c>
      <c r="B13">
        <v>11</v>
      </c>
      <c r="C13">
        <v>11.3</v>
      </c>
      <c r="D13">
        <v>25.6</v>
      </c>
      <c r="E13">
        <v>0.1</v>
      </c>
      <c r="F13">
        <v>151.80000000000001</v>
      </c>
    </row>
    <row r="14" spans="1:6" x14ac:dyDescent="0.2">
      <c r="A14">
        <v>1962</v>
      </c>
      <c r="B14">
        <v>12</v>
      </c>
      <c r="C14">
        <v>7</v>
      </c>
      <c r="D14">
        <v>16.3</v>
      </c>
      <c r="E14">
        <v>-0.3</v>
      </c>
      <c r="F14">
        <v>62.8</v>
      </c>
    </row>
    <row r="15" spans="1:6" x14ac:dyDescent="0.2">
      <c r="A15">
        <v>1963</v>
      </c>
      <c r="B15">
        <v>1</v>
      </c>
      <c r="C15">
        <v>3.2</v>
      </c>
      <c r="D15">
        <v>12.7</v>
      </c>
      <c r="E15">
        <v>-5.5</v>
      </c>
      <c r="F15">
        <v>0.2</v>
      </c>
    </row>
    <row r="16" spans="1:6" x14ac:dyDescent="0.2">
      <c r="A16">
        <v>1963</v>
      </c>
      <c r="B16">
        <v>2</v>
      </c>
      <c r="C16">
        <v>4.8</v>
      </c>
      <c r="D16">
        <v>15.3</v>
      </c>
      <c r="E16">
        <v>-4.0999999999999996</v>
      </c>
      <c r="F16">
        <v>21.3</v>
      </c>
    </row>
    <row r="17" spans="1:6" x14ac:dyDescent="0.2">
      <c r="A17">
        <v>1963</v>
      </c>
      <c r="B17">
        <v>3</v>
      </c>
      <c r="C17">
        <v>7.6</v>
      </c>
      <c r="D17">
        <v>20.5</v>
      </c>
      <c r="E17">
        <v>-2.1</v>
      </c>
      <c r="F17">
        <v>86.7</v>
      </c>
    </row>
    <row r="18" spans="1:6" x14ac:dyDescent="0.2">
      <c r="A18">
        <v>1963</v>
      </c>
      <c r="B18">
        <v>4</v>
      </c>
      <c r="C18">
        <v>13.9</v>
      </c>
      <c r="D18">
        <v>26.9</v>
      </c>
      <c r="E18">
        <v>2.4</v>
      </c>
      <c r="F18">
        <v>76.099999999999994</v>
      </c>
    </row>
    <row r="19" spans="1:6" x14ac:dyDescent="0.2">
      <c r="A19">
        <v>1963</v>
      </c>
      <c r="B19">
        <v>5</v>
      </c>
      <c r="C19">
        <v>18.399999999999999</v>
      </c>
      <c r="D19">
        <v>31.2</v>
      </c>
      <c r="E19">
        <v>8.1</v>
      </c>
      <c r="F19">
        <v>135.1</v>
      </c>
    </row>
    <row r="20" spans="1:6" x14ac:dyDescent="0.2">
      <c r="A20">
        <v>1963</v>
      </c>
      <c r="B20">
        <v>6</v>
      </c>
      <c r="C20">
        <v>21.8</v>
      </c>
      <c r="D20">
        <v>35.700000000000003</v>
      </c>
      <c r="E20">
        <v>10.3</v>
      </c>
      <c r="F20">
        <v>248.2</v>
      </c>
    </row>
    <row r="21" spans="1:6" x14ac:dyDescent="0.2">
      <c r="A21">
        <v>1963</v>
      </c>
      <c r="B21">
        <v>7</v>
      </c>
      <c r="C21">
        <v>25.7</v>
      </c>
      <c r="D21">
        <v>35.5</v>
      </c>
      <c r="E21">
        <v>16.8</v>
      </c>
      <c r="F21">
        <v>65.900000000000006</v>
      </c>
    </row>
    <row r="22" spans="1:6" x14ac:dyDescent="0.2">
      <c r="A22">
        <v>1963</v>
      </c>
      <c r="B22">
        <v>8</v>
      </c>
      <c r="C22">
        <v>26.6</v>
      </c>
      <c r="D22">
        <v>37.200000000000003</v>
      </c>
      <c r="E22">
        <v>20.9</v>
      </c>
      <c r="F22">
        <v>382.2</v>
      </c>
    </row>
    <row r="23" spans="1:6" x14ac:dyDescent="0.2">
      <c r="A23">
        <v>1963</v>
      </c>
      <c r="B23">
        <v>9</v>
      </c>
      <c r="C23">
        <v>21.4</v>
      </c>
      <c r="D23">
        <v>30.6</v>
      </c>
      <c r="E23">
        <v>11.7</v>
      </c>
      <c r="F23">
        <v>144.19999999999999</v>
      </c>
    </row>
    <row r="24" spans="1:6" x14ac:dyDescent="0.2">
      <c r="A24">
        <v>1963</v>
      </c>
      <c r="B24">
        <v>10</v>
      </c>
      <c r="C24">
        <v>16.3</v>
      </c>
      <c r="D24">
        <v>27</v>
      </c>
      <c r="E24">
        <v>8.4</v>
      </c>
      <c r="F24">
        <v>294.7</v>
      </c>
    </row>
    <row r="25" spans="1:6" x14ac:dyDescent="0.2">
      <c r="A25">
        <v>1963</v>
      </c>
      <c r="B25">
        <v>11</v>
      </c>
      <c r="C25">
        <v>12.1</v>
      </c>
      <c r="D25">
        <v>23.1</v>
      </c>
      <c r="E25">
        <v>3.1</v>
      </c>
      <c r="F25">
        <v>90.6</v>
      </c>
    </row>
    <row r="26" spans="1:6" x14ac:dyDescent="0.2">
      <c r="A26">
        <v>1963</v>
      </c>
      <c r="B26">
        <v>12</v>
      </c>
      <c r="C26">
        <v>8.1</v>
      </c>
      <c r="D26">
        <v>18.7</v>
      </c>
      <c r="E26">
        <v>-0.9</v>
      </c>
      <c r="F26">
        <v>29.8</v>
      </c>
    </row>
    <row r="27" spans="1:6" x14ac:dyDescent="0.2">
      <c r="A27">
        <v>1964</v>
      </c>
      <c r="B27">
        <v>1</v>
      </c>
      <c r="C27">
        <v>5.4</v>
      </c>
      <c r="D27">
        <v>18.7</v>
      </c>
      <c r="E27">
        <v>-2.8</v>
      </c>
      <c r="F27">
        <v>144.6</v>
      </c>
    </row>
    <row r="28" spans="1:6" x14ac:dyDescent="0.2">
      <c r="A28">
        <v>1964</v>
      </c>
      <c r="B28">
        <v>2</v>
      </c>
      <c r="C28">
        <v>4.2</v>
      </c>
      <c r="D28">
        <v>12.6</v>
      </c>
      <c r="E28">
        <v>-2.4</v>
      </c>
      <c r="F28">
        <v>64</v>
      </c>
    </row>
    <row r="29" spans="1:6" x14ac:dyDescent="0.2">
      <c r="A29">
        <v>1964</v>
      </c>
      <c r="B29">
        <v>3</v>
      </c>
      <c r="C29">
        <v>7.6</v>
      </c>
      <c r="D29">
        <v>21.3</v>
      </c>
      <c r="E29">
        <v>0</v>
      </c>
      <c r="F29">
        <v>99.7</v>
      </c>
    </row>
    <row r="30" spans="1:6" x14ac:dyDescent="0.2">
      <c r="A30">
        <v>1964</v>
      </c>
      <c r="B30">
        <v>4</v>
      </c>
      <c r="C30">
        <v>15.3</v>
      </c>
      <c r="D30">
        <v>26.3</v>
      </c>
      <c r="E30">
        <v>5.5</v>
      </c>
      <c r="F30">
        <v>94.2</v>
      </c>
    </row>
    <row r="31" spans="1:6" x14ac:dyDescent="0.2">
      <c r="A31">
        <v>1964</v>
      </c>
      <c r="B31">
        <v>5</v>
      </c>
      <c r="C31">
        <v>18.899999999999999</v>
      </c>
      <c r="D31">
        <v>31.4</v>
      </c>
      <c r="E31">
        <v>9.9</v>
      </c>
      <c r="F31">
        <v>80.400000000000006</v>
      </c>
    </row>
    <row r="32" spans="1:6" x14ac:dyDescent="0.2">
      <c r="A32">
        <v>1964</v>
      </c>
      <c r="B32">
        <v>6</v>
      </c>
      <c r="C32">
        <v>21.5</v>
      </c>
      <c r="D32">
        <v>30.5</v>
      </c>
      <c r="E32">
        <v>11.3</v>
      </c>
      <c r="F32">
        <v>139.9</v>
      </c>
    </row>
    <row r="33" spans="1:6" x14ac:dyDescent="0.2">
      <c r="A33">
        <v>1964</v>
      </c>
      <c r="B33">
        <v>7</v>
      </c>
      <c r="C33">
        <v>25.5</v>
      </c>
      <c r="D33">
        <v>34</v>
      </c>
      <c r="E33">
        <v>18.3</v>
      </c>
      <c r="F33">
        <v>45.9</v>
      </c>
    </row>
    <row r="34" spans="1:6" x14ac:dyDescent="0.2">
      <c r="A34">
        <v>1964</v>
      </c>
      <c r="B34">
        <v>8</v>
      </c>
      <c r="C34">
        <v>27.8</v>
      </c>
      <c r="D34">
        <v>35.200000000000003</v>
      </c>
      <c r="E34">
        <v>21.6</v>
      </c>
      <c r="F34">
        <v>110.8</v>
      </c>
    </row>
    <row r="35" spans="1:6" x14ac:dyDescent="0.2">
      <c r="A35">
        <v>1964</v>
      </c>
      <c r="B35">
        <v>9</v>
      </c>
      <c r="C35">
        <v>22.3</v>
      </c>
      <c r="D35">
        <v>32.4</v>
      </c>
      <c r="E35">
        <v>12.3</v>
      </c>
      <c r="F35">
        <v>132.4</v>
      </c>
    </row>
    <row r="36" spans="1:6" x14ac:dyDescent="0.2">
      <c r="A36">
        <v>1964</v>
      </c>
      <c r="B36">
        <v>10</v>
      </c>
      <c r="C36">
        <v>15.9</v>
      </c>
      <c r="D36">
        <v>26</v>
      </c>
      <c r="E36">
        <v>8.3000000000000007</v>
      </c>
      <c r="F36">
        <v>130.5</v>
      </c>
    </row>
    <row r="37" spans="1:6" x14ac:dyDescent="0.2">
      <c r="A37">
        <v>1964</v>
      </c>
      <c r="B37">
        <v>11</v>
      </c>
      <c r="C37">
        <v>11.1</v>
      </c>
      <c r="D37">
        <v>21.5</v>
      </c>
      <c r="E37">
        <v>2.4</v>
      </c>
      <c r="F37">
        <v>50.3</v>
      </c>
    </row>
    <row r="38" spans="1:6" x14ac:dyDescent="0.2">
      <c r="A38">
        <v>1964</v>
      </c>
      <c r="B38">
        <v>12</v>
      </c>
      <c r="C38">
        <v>7.5</v>
      </c>
      <c r="D38">
        <v>15</v>
      </c>
      <c r="E38">
        <v>-1</v>
      </c>
      <c r="F38">
        <v>47.5</v>
      </c>
    </row>
    <row r="39" spans="1:6" x14ac:dyDescent="0.2">
      <c r="A39">
        <v>1965</v>
      </c>
      <c r="B39">
        <v>1</v>
      </c>
      <c r="C39">
        <v>4.4000000000000004</v>
      </c>
      <c r="D39">
        <v>12.9</v>
      </c>
      <c r="E39">
        <v>-3.3</v>
      </c>
      <c r="F39">
        <v>48</v>
      </c>
    </row>
    <row r="40" spans="1:6" x14ac:dyDescent="0.2">
      <c r="A40">
        <v>1965</v>
      </c>
      <c r="B40">
        <v>2</v>
      </c>
      <c r="C40">
        <v>4.7</v>
      </c>
      <c r="D40">
        <v>18.3</v>
      </c>
      <c r="E40">
        <v>-4.7</v>
      </c>
      <c r="F40">
        <v>10.5</v>
      </c>
    </row>
    <row r="41" spans="1:6" x14ac:dyDescent="0.2">
      <c r="A41">
        <v>1965</v>
      </c>
      <c r="B41">
        <v>3</v>
      </c>
      <c r="C41">
        <v>6.9</v>
      </c>
      <c r="D41">
        <v>16.399999999999999</v>
      </c>
      <c r="E41">
        <v>-1.1000000000000001</v>
      </c>
      <c r="F41">
        <v>44.5</v>
      </c>
    </row>
    <row r="42" spans="1:6" x14ac:dyDescent="0.2">
      <c r="A42">
        <v>1965</v>
      </c>
      <c r="B42">
        <v>4</v>
      </c>
      <c r="C42">
        <v>11.1</v>
      </c>
      <c r="D42">
        <v>25.1</v>
      </c>
      <c r="E42">
        <v>2.6</v>
      </c>
      <c r="F42">
        <v>87</v>
      </c>
    </row>
    <row r="43" spans="1:6" x14ac:dyDescent="0.2">
      <c r="A43">
        <v>1965</v>
      </c>
      <c r="B43">
        <v>5</v>
      </c>
      <c r="C43">
        <v>17.2</v>
      </c>
      <c r="D43">
        <v>26.6</v>
      </c>
      <c r="E43">
        <v>7.4</v>
      </c>
      <c r="F43">
        <v>400</v>
      </c>
    </row>
    <row r="44" spans="1:6" x14ac:dyDescent="0.2">
      <c r="A44">
        <v>1965</v>
      </c>
      <c r="B44">
        <v>6</v>
      </c>
      <c r="C44">
        <v>21.6</v>
      </c>
      <c r="D44">
        <v>31.2</v>
      </c>
      <c r="E44">
        <v>13.4</v>
      </c>
      <c r="F44">
        <v>219.5</v>
      </c>
    </row>
    <row r="45" spans="1:6" x14ac:dyDescent="0.2">
      <c r="A45">
        <v>1965</v>
      </c>
      <c r="B45">
        <v>7</v>
      </c>
      <c r="C45">
        <v>24.2</v>
      </c>
      <c r="D45">
        <v>33.6</v>
      </c>
      <c r="E45">
        <v>17.100000000000001</v>
      </c>
      <c r="F45">
        <v>97</v>
      </c>
    </row>
    <row r="46" spans="1:6" x14ac:dyDescent="0.2">
      <c r="A46">
        <v>1965</v>
      </c>
      <c r="B46">
        <v>8</v>
      </c>
      <c r="C46">
        <v>26.7</v>
      </c>
      <c r="D46">
        <v>35</v>
      </c>
      <c r="E46">
        <v>19.899999999999999</v>
      </c>
      <c r="F46">
        <v>234.5</v>
      </c>
    </row>
    <row r="47" spans="1:6" x14ac:dyDescent="0.2">
      <c r="A47">
        <v>1965</v>
      </c>
      <c r="B47">
        <v>9</v>
      </c>
      <c r="C47">
        <v>22.2</v>
      </c>
      <c r="D47">
        <v>29.9</v>
      </c>
      <c r="E47">
        <v>13.9</v>
      </c>
      <c r="F47">
        <v>204.5</v>
      </c>
    </row>
    <row r="48" spans="1:6" x14ac:dyDescent="0.2">
      <c r="A48">
        <v>1965</v>
      </c>
      <c r="B48">
        <v>10</v>
      </c>
      <c r="C48">
        <v>16.899999999999999</v>
      </c>
      <c r="D48">
        <v>26.8</v>
      </c>
      <c r="E48">
        <v>10.3</v>
      </c>
      <c r="F48">
        <v>53</v>
      </c>
    </row>
    <row r="49" spans="1:6" x14ac:dyDescent="0.2">
      <c r="A49">
        <v>1965</v>
      </c>
      <c r="B49">
        <v>11</v>
      </c>
      <c r="C49">
        <v>12.7</v>
      </c>
      <c r="D49">
        <v>24.9</v>
      </c>
      <c r="E49">
        <v>4.5999999999999996</v>
      </c>
      <c r="F49">
        <v>131.5</v>
      </c>
    </row>
    <row r="50" spans="1:6" x14ac:dyDescent="0.2">
      <c r="A50">
        <v>1965</v>
      </c>
      <c r="B50">
        <v>12</v>
      </c>
      <c r="C50">
        <v>7</v>
      </c>
      <c r="D50">
        <v>17.600000000000001</v>
      </c>
      <c r="E50">
        <v>-1.4</v>
      </c>
      <c r="F50">
        <v>66</v>
      </c>
    </row>
    <row r="51" spans="1:6" x14ac:dyDescent="0.2">
      <c r="A51">
        <v>1966</v>
      </c>
      <c r="B51">
        <v>1</v>
      </c>
      <c r="C51">
        <v>4.5999999999999996</v>
      </c>
      <c r="D51">
        <v>17.2</v>
      </c>
      <c r="E51">
        <v>-2.9</v>
      </c>
      <c r="F51">
        <v>23.6</v>
      </c>
    </row>
    <row r="52" spans="1:6" x14ac:dyDescent="0.2">
      <c r="A52">
        <v>1966</v>
      </c>
      <c r="B52">
        <v>2</v>
      </c>
      <c r="C52">
        <v>7.2</v>
      </c>
      <c r="D52">
        <v>19.100000000000001</v>
      </c>
      <c r="E52">
        <v>-3.2</v>
      </c>
      <c r="F52">
        <v>122</v>
      </c>
    </row>
    <row r="53" spans="1:6" x14ac:dyDescent="0.2">
      <c r="A53">
        <v>1966</v>
      </c>
      <c r="B53">
        <v>3</v>
      </c>
      <c r="C53">
        <v>9.6</v>
      </c>
      <c r="D53">
        <v>21.6</v>
      </c>
      <c r="E53">
        <v>1.2</v>
      </c>
      <c r="F53">
        <v>99.9</v>
      </c>
    </row>
    <row r="54" spans="1:6" x14ac:dyDescent="0.2">
      <c r="A54">
        <v>1966</v>
      </c>
      <c r="B54">
        <v>4</v>
      </c>
      <c r="C54">
        <v>13.6</v>
      </c>
      <c r="D54">
        <v>26.4</v>
      </c>
      <c r="E54">
        <v>5</v>
      </c>
      <c r="F54">
        <v>133.69999999999999</v>
      </c>
    </row>
    <row r="55" spans="1:6" x14ac:dyDescent="0.2">
      <c r="A55">
        <v>1966</v>
      </c>
      <c r="B55">
        <v>5</v>
      </c>
      <c r="C55">
        <v>17.899999999999999</v>
      </c>
      <c r="D55">
        <v>27.5</v>
      </c>
      <c r="E55">
        <v>9</v>
      </c>
      <c r="F55">
        <v>196.2</v>
      </c>
    </row>
    <row r="56" spans="1:6" x14ac:dyDescent="0.2">
      <c r="A56">
        <v>1966</v>
      </c>
      <c r="B56">
        <v>6</v>
      </c>
      <c r="C56">
        <v>20.100000000000001</v>
      </c>
      <c r="D56">
        <v>30.5</v>
      </c>
      <c r="E56">
        <v>11.1</v>
      </c>
      <c r="F56">
        <v>510.2</v>
      </c>
    </row>
    <row r="57" spans="1:6" x14ac:dyDescent="0.2">
      <c r="A57">
        <v>1966</v>
      </c>
      <c r="B57">
        <v>7</v>
      </c>
      <c r="C57">
        <v>24.4</v>
      </c>
      <c r="D57">
        <v>33</v>
      </c>
      <c r="E57">
        <v>14.1</v>
      </c>
      <c r="F57">
        <v>160.80000000000001</v>
      </c>
    </row>
    <row r="58" spans="1:6" x14ac:dyDescent="0.2">
      <c r="A58">
        <v>1966</v>
      </c>
      <c r="B58">
        <v>8</v>
      </c>
      <c r="C58">
        <v>26.9</v>
      </c>
      <c r="D58">
        <v>34.9</v>
      </c>
      <c r="E58">
        <v>21.2</v>
      </c>
      <c r="F58">
        <v>54.5</v>
      </c>
    </row>
    <row r="59" spans="1:6" x14ac:dyDescent="0.2">
      <c r="A59">
        <v>1966</v>
      </c>
      <c r="B59">
        <v>9</v>
      </c>
      <c r="C59">
        <v>23.2</v>
      </c>
      <c r="D59">
        <v>32.799999999999997</v>
      </c>
      <c r="E59">
        <v>14.6</v>
      </c>
      <c r="F59">
        <v>197.1</v>
      </c>
    </row>
    <row r="60" spans="1:6" x14ac:dyDescent="0.2">
      <c r="A60">
        <v>1966</v>
      </c>
      <c r="B60">
        <v>10</v>
      </c>
      <c r="C60">
        <v>18.899999999999999</v>
      </c>
      <c r="D60">
        <v>26.7</v>
      </c>
      <c r="E60">
        <v>11</v>
      </c>
      <c r="F60">
        <v>108.5</v>
      </c>
    </row>
    <row r="61" spans="1:6" x14ac:dyDescent="0.2">
      <c r="A61">
        <v>1966</v>
      </c>
      <c r="B61">
        <v>11</v>
      </c>
      <c r="C61">
        <v>12.9</v>
      </c>
      <c r="D61">
        <v>24.9</v>
      </c>
      <c r="E61">
        <v>2.1</v>
      </c>
      <c r="F61">
        <v>29</v>
      </c>
    </row>
    <row r="62" spans="1:6" x14ac:dyDescent="0.2">
      <c r="A62">
        <v>1966</v>
      </c>
      <c r="B62">
        <v>12</v>
      </c>
      <c r="C62">
        <v>6.6</v>
      </c>
      <c r="D62">
        <v>15.3</v>
      </c>
      <c r="E62">
        <v>-1.9</v>
      </c>
      <c r="F62">
        <v>8</v>
      </c>
    </row>
    <row r="63" spans="1:6" x14ac:dyDescent="0.2">
      <c r="A63">
        <v>1967</v>
      </c>
      <c r="B63">
        <v>1</v>
      </c>
      <c r="C63">
        <v>4.4000000000000004</v>
      </c>
      <c r="D63">
        <v>15.4</v>
      </c>
      <c r="E63">
        <v>-3.6</v>
      </c>
      <c r="F63">
        <v>32.200000000000003</v>
      </c>
    </row>
    <row r="64" spans="1:6" x14ac:dyDescent="0.2">
      <c r="A64">
        <v>1967</v>
      </c>
      <c r="B64">
        <v>2</v>
      </c>
      <c r="C64">
        <v>4.9000000000000004</v>
      </c>
      <c r="D64">
        <v>19.100000000000001</v>
      </c>
      <c r="E64">
        <v>-4</v>
      </c>
      <c r="F64">
        <v>43.8</v>
      </c>
    </row>
    <row r="65" spans="1:6" x14ac:dyDescent="0.2">
      <c r="A65">
        <v>1967</v>
      </c>
      <c r="B65">
        <v>3</v>
      </c>
      <c r="C65">
        <v>9.5</v>
      </c>
      <c r="D65">
        <v>23.3</v>
      </c>
      <c r="E65">
        <v>-0.9</v>
      </c>
      <c r="F65">
        <v>69.7</v>
      </c>
    </row>
    <row r="66" spans="1:6" x14ac:dyDescent="0.2">
      <c r="A66">
        <v>1967</v>
      </c>
      <c r="B66">
        <v>4</v>
      </c>
      <c r="C66">
        <v>14.5</v>
      </c>
      <c r="D66">
        <v>24.2</v>
      </c>
      <c r="E66">
        <v>1.8</v>
      </c>
      <c r="F66">
        <v>104.7</v>
      </c>
    </row>
    <row r="67" spans="1:6" x14ac:dyDescent="0.2">
      <c r="A67">
        <v>1967</v>
      </c>
      <c r="B67">
        <v>5</v>
      </c>
      <c r="C67">
        <v>20</v>
      </c>
      <c r="D67">
        <v>30.4</v>
      </c>
      <c r="E67">
        <v>12.3</v>
      </c>
      <c r="F67">
        <v>49.3</v>
      </c>
    </row>
    <row r="68" spans="1:6" x14ac:dyDescent="0.2">
      <c r="A68">
        <v>1967</v>
      </c>
      <c r="B68">
        <v>6</v>
      </c>
      <c r="C68">
        <v>23</v>
      </c>
      <c r="D68">
        <v>30.9</v>
      </c>
      <c r="E68">
        <v>16.2</v>
      </c>
      <c r="F68">
        <v>109.3</v>
      </c>
    </row>
    <row r="69" spans="1:6" x14ac:dyDescent="0.2">
      <c r="A69">
        <v>1967</v>
      </c>
      <c r="B69">
        <v>7</v>
      </c>
      <c r="C69">
        <v>26.3</v>
      </c>
      <c r="D69">
        <v>34.1</v>
      </c>
      <c r="E69">
        <v>19.600000000000001</v>
      </c>
      <c r="F69">
        <v>89.2</v>
      </c>
    </row>
    <row r="70" spans="1:6" x14ac:dyDescent="0.2">
      <c r="A70">
        <v>1967</v>
      </c>
      <c r="B70">
        <v>8</v>
      </c>
      <c r="C70">
        <v>28</v>
      </c>
      <c r="D70">
        <v>37.200000000000003</v>
      </c>
      <c r="E70">
        <v>21.5</v>
      </c>
      <c r="F70">
        <v>67.3</v>
      </c>
    </row>
    <row r="71" spans="1:6" x14ac:dyDescent="0.2">
      <c r="A71">
        <v>1967</v>
      </c>
      <c r="B71">
        <v>9</v>
      </c>
      <c r="C71">
        <v>22.6</v>
      </c>
      <c r="D71">
        <v>31.3</v>
      </c>
      <c r="E71">
        <v>15.4</v>
      </c>
      <c r="F71">
        <v>148.80000000000001</v>
      </c>
    </row>
    <row r="72" spans="1:6" x14ac:dyDescent="0.2">
      <c r="A72">
        <v>1967</v>
      </c>
      <c r="B72">
        <v>10</v>
      </c>
      <c r="C72">
        <v>16.899999999999999</v>
      </c>
      <c r="D72">
        <v>26</v>
      </c>
      <c r="E72">
        <v>9.5</v>
      </c>
      <c r="F72">
        <v>214.7</v>
      </c>
    </row>
    <row r="73" spans="1:6" x14ac:dyDescent="0.2">
      <c r="A73">
        <v>1967</v>
      </c>
      <c r="B73">
        <v>11</v>
      </c>
      <c r="C73">
        <v>12.1</v>
      </c>
      <c r="D73">
        <v>24.1</v>
      </c>
      <c r="E73">
        <v>2.9</v>
      </c>
      <c r="F73">
        <v>61.4</v>
      </c>
    </row>
    <row r="74" spans="1:6" x14ac:dyDescent="0.2">
      <c r="A74">
        <v>1967</v>
      </c>
      <c r="B74">
        <v>12</v>
      </c>
      <c r="C74">
        <v>6.7</v>
      </c>
      <c r="D74">
        <v>16.2</v>
      </c>
      <c r="E74">
        <v>-2.6</v>
      </c>
      <c r="F74">
        <v>32.9</v>
      </c>
    </row>
    <row r="75" spans="1:6" x14ac:dyDescent="0.2">
      <c r="A75">
        <v>1968</v>
      </c>
      <c r="B75">
        <v>1</v>
      </c>
      <c r="C75">
        <v>5.7</v>
      </c>
      <c r="D75">
        <v>16.2</v>
      </c>
      <c r="E75">
        <v>-1.9</v>
      </c>
      <c r="F75">
        <v>9.5</v>
      </c>
    </row>
    <row r="76" spans="1:6" x14ac:dyDescent="0.2">
      <c r="A76">
        <v>1968</v>
      </c>
      <c r="B76">
        <v>2</v>
      </c>
      <c r="C76">
        <v>4.3</v>
      </c>
      <c r="D76">
        <v>15.5</v>
      </c>
      <c r="E76">
        <v>-2.9</v>
      </c>
      <c r="F76">
        <v>48</v>
      </c>
    </row>
    <row r="77" spans="1:6" x14ac:dyDescent="0.2">
      <c r="A77">
        <v>1968</v>
      </c>
      <c r="B77">
        <v>3</v>
      </c>
      <c r="C77">
        <v>10</v>
      </c>
      <c r="D77">
        <v>20.5</v>
      </c>
      <c r="E77">
        <v>1.4</v>
      </c>
      <c r="F77">
        <v>94</v>
      </c>
    </row>
    <row r="78" spans="1:6" x14ac:dyDescent="0.2">
      <c r="A78">
        <v>1968</v>
      </c>
      <c r="B78">
        <v>4</v>
      </c>
      <c r="C78">
        <v>14.1</v>
      </c>
      <c r="D78">
        <v>23.4</v>
      </c>
      <c r="E78">
        <v>6.6</v>
      </c>
      <c r="F78">
        <v>117.5</v>
      </c>
    </row>
    <row r="79" spans="1:6" x14ac:dyDescent="0.2">
      <c r="A79">
        <v>1968</v>
      </c>
      <c r="B79">
        <v>5</v>
      </c>
      <c r="C79">
        <v>17.5</v>
      </c>
      <c r="D79">
        <v>25.5</v>
      </c>
      <c r="E79">
        <v>10</v>
      </c>
      <c r="F79">
        <v>185.5</v>
      </c>
    </row>
    <row r="80" spans="1:6" x14ac:dyDescent="0.2">
      <c r="A80">
        <v>1968</v>
      </c>
      <c r="B80">
        <v>6</v>
      </c>
      <c r="C80">
        <v>22</v>
      </c>
      <c r="D80">
        <v>30</v>
      </c>
      <c r="E80">
        <v>15.9</v>
      </c>
      <c r="F80">
        <v>175</v>
      </c>
    </row>
    <row r="81" spans="1:6" x14ac:dyDescent="0.2">
      <c r="A81">
        <v>1968</v>
      </c>
      <c r="B81">
        <v>7</v>
      </c>
      <c r="C81">
        <v>24.7</v>
      </c>
      <c r="D81">
        <v>32.299999999999997</v>
      </c>
      <c r="E81">
        <v>18.600000000000001</v>
      </c>
      <c r="F81">
        <v>136</v>
      </c>
    </row>
    <row r="82" spans="1:6" x14ac:dyDescent="0.2">
      <c r="A82">
        <v>1968</v>
      </c>
      <c r="B82">
        <v>8</v>
      </c>
      <c r="C82">
        <v>26.6</v>
      </c>
      <c r="D82">
        <v>33.5</v>
      </c>
      <c r="E82">
        <v>19.899999999999999</v>
      </c>
      <c r="F82">
        <v>256</v>
      </c>
    </row>
    <row r="83" spans="1:6" x14ac:dyDescent="0.2">
      <c r="A83">
        <v>1968</v>
      </c>
      <c r="B83">
        <v>9</v>
      </c>
      <c r="C83">
        <v>21.9</v>
      </c>
      <c r="D83">
        <v>28.9</v>
      </c>
      <c r="E83">
        <v>16</v>
      </c>
      <c r="F83">
        <v>109.5</v>
      </c>
    </row>
    <row r="84" spans="1:6" x14ac:dyDescent="0.2">
      <c r="A84">
        <v>1968</v>
      </c>
      <c r="B84">
        <v>10</v>
      </c>
      <c r="C84">
        <v>16.3</v>
      </c>
      <c r="D84">
        <v>27.2</v>
      </c>
      <c r="E84">
        <v>8.8000000000000007</v>
      </c>
      <c r="F84">
        <v>152.5</v>
      </c>
    </row>
    <row r="85" spans="1:6" x14ac:dyDescent="0.2">
      <c r="A85">
        <v>1968</v>
      </c>
      <c r="B85">
        <v>11</v>
      </c>
      <c r="C85">
        <v>14.1</v>
      </c>
      <c r="D85">
        <v>23.4</v>
      </c>
      <c r="E85">
        <v>4</v>
      </c>
      <c r="F85">
        <v>19.5</v>
      </c>
    </row>
    <row r="86" spans="1:6" x14ac:dyDescent="0.2">
      <c r="A86">
        <v>1968</v>
      </c>
      <c r="B86">
        <v>12</v>
      </c>
      <c r="C86">
        <v>10.199999999999999</v>
      </c>
      <c r="D86">
        <v>20.100000000000001</v>
      </c>
      <c r="E86">
        <v>1.1000000000000001</v>
      </c>
      <c r="F86">
        <v>188</v>
      </c>
    </row>
    <row r="87" spans="1:6" x14ac:dyDescent="0.2">
      <c r="A87">
        <v>1969</v>
      </c>
      <c r="B87">
        <v>1</v>
      </c>
      <c r="C87">
        <v>5.7</v>
      </c>
      <c r="D87">
        <v>22.6</v>
      </c>
      <c r="E87">
        <v>-2.1</v>
      </c>
      <c r="F87">
        <v>54.5</v>
      </c>
    </row>
    <row r="88" spans="1:6" x14ac:dyDescent="0.2">
      <c r="A88">
        <v>1969</v>
      </c>
      <c r="B88">
        <v>2</v>
      </c>
      <c r="C88">
        <v>5.7</v>
      </c>
      <c r="D88">
        <v>19.100000000000001</v>
      </c>
      <c r="E88">
        <v>-1.2</v>
      </c>
      <c r="F88">
        <v>100</v>
      </c>
    </row>
    <row r="89" spans="1:6" x14ac:dyDescent="0.2">
      <c r="A89">
        <v>1969</v>
      </c>
      <c r="B89">
        <v>3</v>
      </c>
      <c r="C89">
        <v>7.9</v>
      </c>
      <c r="D89">
        <v>21.9</v>
      </c>
      <c r="E89">
        <v>-1.5</v>
      </c>
      <c r="F89">
        <v>121</v>
      </c>
    </row>
    <row r="90" spans="1:6" x14ac:dyDescent="0.2">
      <c r="A90">
        <v>1969</v>
      </c>
      <c r="B90">
        <v>4</v>
      </c>
      <c r="C90">
        <v>14.6</v>
      </c>
      <c r="D90">
        <v>27.2</v>
      </c>
      <c r="E90">
        <v>1</v>
      </c>
      <c r="F90">
        <v>73</v>
      </c>
    </row>
    <row r="91" spans="1:6" x14ac:dyDescent="0.2">
      <c r="A91">
        <v>1969</v>
      </c>
      <c r="B91">
        <v>5</v>
      </c>
      <c r="C91">
        <v>19.600000000000001</v>
      </c>
      <c r="D91">
        <v>30.3</v>
      </c>
      <c r="E91">
        <v>13</v>
      </c>
      <c r="F91">
        <v>88.5</v>
      </c>
    </row>
    <row r="92" spans="1:6" x14ac:dyDescent="0.2">
      <c r="A92">
        <v>1969</v>
      </c>
      <c r="B92">
        <v>6</v>
      </c>
      <c r="C92">
        <v>21.8</v>
      </c>
      <c r="D92">
        <v>29.3</v>
      </c>
      <c r="E92">
        <v>13</v>
      </c>
      <c r="F92">
        <v>187.5</v>
      </c>
    </row>
    <row r="93" spans="1:6" x14ac:dyDescent="0.2">
      <c r="A93">
        <v>1969</v>
      </c>
      <c r="B93">
        <v>7</v>
      </c>
      <c r="C93">
        <v>25</v>
      </c>
      <c r="D93">
        <v>36.6</v>
      </c>
      <c r="E93">
        <v>15.6</v>
      </c>
      <c r="F93">
        <v>102</v>
      </c>
    </row>
    <row r="94" spans="1:6" x14ac:dyDescent="0.2">
      <c r="A94">
        <v>1969</v>
      </c>
      <c r="B94">
        <v>8</v>
      </c>
      <c r="C94">
        <v>27.2</v>
      </c>
      <c r="D94">
        <v>35.799999999999997</v>
      </c>
      <c r="E94">
        <v>20.5</v>
      </c>
      <c r="F94">
        <v>131.5</v>
      </c>
    </row>
    <row r="95" spans="1:6" x14ac:dyDescent="0.2">
      <c r="A95">
        <v>1969</v>
      </c>
      <c r="B95">
        <v>9</v>
      </c>
      <c r="C95">
        <v>22.8</v>
      </c>
      <c r="D95">
        <v>33.200000000000003</v>
      </c>
      <c r="E95">
        <v>13.6</v>
      </c>
      <c r="F95">
        <v>238.5</v>
      </c>
    </row>
    <row r="96" spans="1:6" x14ac:dyDescent="0.2">
      <c r="A96">
        <v>1969</v>
      </c>
      <c r="B96">
        <v>10</v>
      </c>
      <c r="C96">
        <v>17.3</v>
      </c>
      <c r="D96">
        <v>26.1</v>
      </c>
      <c r="E96">
        <v>8.8000000000000007</v>
      </c>
      <c r="F96">
        <v>146</v>
      </c>
    </row>
    <row r="97" spans="1:6" x14ac:dyDescent="0.2">
      <c r="A97">
        <v>1969</v>
      </c>
      <c r="B97">
        <v>11</v>
      </c>
      <c r="C97">
        <v>12.8</v>
      </c>
      <c r="D97">
        <v>24.2</v>
      </c>
      <c r="E97">
        <v>2.6</v>
      </c>
      <c r="F97">
        <v>93.5</v>
      </c>
    </row>
    <row r="98" spans="1:6" x14ac:dyDescent="0.2">
      <c r="A98">
        <v>1969</v>
      </c>
      <c r="B98">
        <v>12</v>
      </c>
      <c r="C98">
        <v>7.2</v>
      </c>
      <c r="D98">
        <v>19.7</v>
      </c>
      <c r="E98">
        <v>-1.7</v>
      </c>
      <c r="F98">
        <v>7</v>
      </c>
    </row>
    <row r="99" spans="1:6" x14ac:dyDescent="0.2">
      <c r="A99">
        <v>1970</v>
      </c>
      <c r="B99">
        <v>1</v>
      </c>
      <c r="C99">
        <v>4.5</v>
      </c>
      <c r="D99">
        <v>14.2</v>
      </c>
      <c r="E99">
        <v>-4</v>
      </c>
      <c r="F99">
        <v>58.5</v>
      </c>
    </row>
    <row r="100" spans="1:6" x14ac:dyDescent="0.2">
      <c r="A100">
        <v>1970</v>
      </c>
      <c r="B100">
        <v>2</v>
      </c>
      <c r="C100">
        <v>6</v>
      </c>
      <c r="D100">
        <v>17.7</v>
      </c>
      <c r="E100">
        <v>-2.2000000000000002</v>
      </c>
      <c r="F100">
        <v>34.5</v>
      </c>
    </row>
    <row r="101" spans="1:6" x14ac:dyDescent="0.2">
      <c r="A101">
        <v>1970</v>
      </c>
      <c r="B101">
        <v>3</v>
      </c>
      <c r="C101">
        <v>5.5</v>
      </c>
      <c r="D101">
        <v>16.5</v>
      </c>
      <c r="E101">
        <v>-2.6</v>
      </c>
      <c r="F101">
        <v>46.5</v>
      </c>
    </row>
    <row r="102" spans="1:6" x14ac:dyDescent="0.2">
      <c r="A102">
        <v>1970</v>
      </c>
      <c r="B102">
        <v>4</v>
      </c>
      <c r="C102">
        <v>13</v>
      </c>
      <c r="D102">
        <v>24.1</v>
      </c>
      <c r="E102">
        <v>4.9000000000000004</v>
      </c>
      <c r="F102">
        <v>94</v>
      </c>
    </row>
    <row r="103" spans="1:6" x14ac:dyDescent="0.2">
      <c r="A103">
        <v>1970</v>
      </c>
      <c r="B103">
        <v>5</v>
      </c>
      <c r="C103">
        <v>19.600000000000001</v>
      </c>
      <c r="D103">
        <v>30</v>
      </c>
      <c r="E103">
        <v>11.2</v>
      </c>
      <c r="F103">
        <v>161.5</v>
      </c>
    </row>
    <row r="104" spans="1:6" x14ac:dyDescent="0.2">
      <c r="A104">
        <v>1970</v>
      </c>
      <c r="B104">
        <v>6</v>
      </c>
      <c r="C104">
        <v>20.7</v>
      </c>
      <c r="D104">
        <v>31</v>
      </c>
      <c r="E104">
        <v>13.1</v>
      </c>
      <c r="F104">
        <v>218</v>
      </c>
    </row>
    <row r="105" spans="1:6" x14ac:dyDescent="0.2">
      <c r="A105">
        <v>1970</v>
      </c>
      <c r="B105">
        <v>7</v>
      </c>
      <c r="C105">
        <v>25.4</v>
      </c>
      <c r="D105">
        <v>34.9</v>
      </c>
      <c r="E105">
        <v>17.100000000000001</v>
      </c>
      <c r="F105">
        <v>118.5</v>
      </c>
    </row>
    <row r="106" spans="1:6" x14ac:dyDescent="0.2">
      <c r="A106">
        <v>1970</v>
      </c>
      <c r="B106">
        <v>8</v>
      </c>
      <c r="C106">
        <v>27.4</v>
      </c>
      <c r="D106">
        <v>35.5</v>
      </c>
      <c r="E106">
        <v>19.899999999999999</v>
      </c>
      <c r="F106">
        <v>20.5</v>
      </c>
    </row>
    <row r="107" spans="1:6" x14ac:dyDescent="0.2">
      <c r="A107">
        <v>1970</v>
      </c>
      <c r="B107">
        <v>9</v>
      </c>
      <c r="C107">
        <v>24</v>
      </c>
      <c r="D107">
        <v>35.4</v>
      </c>
      <c r="E107">
        <v>13.5</v>
      </c>
      <c r="F107">
        <v>86</v>
      </c>
    </row>
    <row r="108" spans="1:6" x14ac:dyDescent="0.2">
      <c r="A108">
        <v>1970</v>
      </c>
      <c r="B108">
        <v>10</v>
      </c>
      <c r="C108">
        <v>17.2</v>
      </c>
      <c r="D108">
        <v>26.1</v>
      </c>
      <c r="E108">
        <v>7.4</v>
      </c>
      <c r="F108">
        <v>98.5</v>
      </c>
    </row>
    <row r="109" spans="1:6" x14ac:dyDescent="0.2">
      <c r="A109">
        <v>1970</v>
      </c>
      <c r="B109">
        <v>11</v>
      </c>
      <c r="C109">
        <v>12.3</v>
      </c>
      <c r="D109">
        <v>23.4</v>
      </c>
      <c r="E109">
        <v>2</v>
      </c>
      <c r="F109">
        <v>144.5</v>
      </c>
    </row>
    <row r="110" spans="1:6" x14ac:dyDescent="0.2">
      <c r="A110">
        <v>1970</v>
      </c>
      <c r="B110">
        <v>12</v>
      </c>
      <c r="C110">
        <v>6.8</v>
      </c>
      <c r="D110">
        <v>20.5</v>
      </c>
      <c r="E110">
        <v>-0.6</v>
      </c>
      <c r="F110">
        <v>41</v>
      </c>
    </row>
    <row r="111" spans="1:6" x14ac:dyDescent="0.2">
      <c r="A111">
        <v>1971</v>
      </c>
      <c r="B111">
        <v>1</v>
      </c>
      <c r="C111">
        <v>5.0999999999999996</v>
      </c>
      <c r="D111">
        <v>13.5</v>
      </c>
      <c r="E111">
        <v>-2.2000000000000002</v>
      </c>
      <c r="F111">
        <v>32</v>
      </c>
    </row>
    <row r="112" spans="1:6" x14ac:dyDescent="0.2">
      <c r="A112">
        <v>1971</v>
      </c>
      <c r="B112">
        <v>2</v>
      </c>
      <c r="C112">
        <v>5.9</v>
      </c>
      <c r="D112">
        <v>16.2</v>
      </c>
      <c r="E112">
        <v>-1.5</v>
      </c>
      <c r="F112">
        <v>38</v>
      </c>
    </row>
    <row r="113" spans="1:6" x14ac:dyDescent="0.2">
      <c r="A113">
        <v>1971</v>
      </c>
      <c r="B113">
        <v>3</v>
      </c>
      <c r="C113">
        <v>8.3000000000000007</v>
      </c>
      <c r="D113">
        <v>20.399999999999999</v>
      </c>
      <c r="E113">
        <v>-0.9</v>
      </c>
      <c r="F113">
        <v>67.5</v>
      </c>
    </row>
    <row r="114" spans="1:6" x14ac:dyDescent="0.2">
      <c r="A114">
        <v>1971</v>
      </c>
      <c r="B114">
        <v>4</v>
      </c>
      <c r="C114">
        <v>13.5</v>
      </c>
      <c r="D114">
        <v>25.9</v>
      </c>
      <c r="E114">
        <v>5.3</v>
      </c>
      <c r="F114">
        <v>134</v>
      </c>
    </row>
    <row r="115" spans="1:6" x14ac:dyDescent="0.2">
      <c r="A115">
        <v>1971</v>
      </c>
      <c r="B115">
        <v>5</v>
      </c>
      <c r="C115">
        <v>17.399999999999999</v>
      </c>
      <c r="D115">
        <v>28.8</v>
      </c>
      <c r="E115">
        <v>9.4</v>
      </c>
      <c r="F115">
        <v>110</v>
      </c>
    </row>
    <row r="116" spans="1:6" x14ac:dyDescent="0.2">
      <c r="A116">
        <v>1971</v>
      </c>
      <c r="B116">
        <v>6</v>
      </c>
      <c r="C116">
        <v>21.3</v>
      </c>
      <c r="D116">
        <v>30.7</v>
      </c>
      <c r="E116">
        <v>15.4</v>
      </c>
      <c r="F116">
        <v>91.5</v>
      </c>
    </row>
    <row r="117" spans="1:6" x14ac:dyDescent="0.2">
      <c r="A117">
        <v>1971</v>
      </c>
      <c r="B117">
        <v>7</v>
      </c>
      <c r="C117">
        <v>25.8</v>
      </c>
      <c r="D117">
        <v>33.700000000000003</v>
      </c>
      <c r="E117">
        <v>18.600000000000001</v>
      </c>
      <c r="F117">
        <v>153.5</v>
      </c>
    </row>
    <row r="118" spans="1:6" x14ac:dyDescent="0.2">
      <c r="A118">
        <v>1971</v>
      </c>
      <c r="B118">
        <v>8</v>
      </c>
      <c r="C118">
        <v>26.7</v>
      </c>
      <c r="D118">
        <v>34.4</v>
      </c>
      <c r="E118">
        <v>19.399999999999999</v>
      </c>
      <c r="F118">
        <v>195</v>
      </c>
    </row>
    <row r="119" spans="1:6" x14ac:dyDescent="0.2">
      <c r="A119">
        <v>1971</v>
      </c>
      <c r="B119">
        <v>9</v>
      </c>
      <c r="C119">
        <v>21.1</v>
      </c>
      <c r="D119">
        <v>30.8</v>
      </c>
      <c r="E119">
        <v>14.6</v>
      </c>
      <c r="F119">
        <v>273</v>
      </c>
    </row>
    <row r="120" spans="1:6" x14ac:dyDescent="0.2">
      <c r="A120">
        <v>1971</v>
      </c>
      <c r="B120">
        <v>10</v>
      </c>
      <c r="C120">
        <v>15.5</v>
      </c>
      <c r="D120">
        <v>24.1</v>
      </c>
      <c r="E120">
        <v>7.4</v>
      </c>
      <c r="F120">
        <v>258.5</v>
      </c>
    </row>
    <row r="121" spans="1:6" x14ac:dyDescent="0.2">
      <c r="A121">
        <v>1971</v>
      </c>
      <c r="B121">
        <v>11</v>
      </c>
      <c r="C121">
        <v>11.9</v>
      </c>
      <c r="D121">
        <v>21.3</v>
      </c>
      <c r="E121">
        <v>1.5</v>
      </c>
      <c r="F121">
        <v>30.5</v>
      </c>
    </row>
    <row r="122" spans="1:6" x14ac:dyDescent="0.2">
      <c r="A122">
        <v>1971</v>
      </c>
      <c r="B122">
        <v>12</v>
      </c>
      <c r="C122">
        <v>7.9</v>
      </c>
      <c r="D122">
        <v>19.3</v>
      </c>
      <c r="E122">
        <v>1</v>
      </c>
      <c r="F122">
        <v>55</v>
      </c>
    </row>
    <row r="123" spans="1:6" x14ac:dyDescent="0.2">
      <c r="A123">
        <v>1972</v>
      </c>
      <c r="B123">
        <v>1</v>
      </c>
      <c r="C123">
        <v>6.6</v>
      </c>
      <c r="D123">
        <v>16.8</v>
      </c>
      <c r="E123">
        <v>-2.1</v>
      </c>
      <c r="F123">
        <v>113.5</v>
      </c>
    </row>
    <row r="124" spans="1:6" x14ac:dyDescent="0.2">
      <c r="A124">
        <v>1972</v>
      </c>
      <c r="B124">
        <v>2</v>
      </c>
      <c r="C124">
        <v>5.0999999999999996</v>
      </c>
      <c r="D124">
        <v>14.6</v>
      </c>
      <c r="E124">
        <v>-1.5</v>
      </c>
      <c r="F124">
        <v>142</v>
      </c>
    </row>
    <row r="125" spans="1:6" x14ac:dyDescent="0.2">
      <c r="A125">
        <v>1972</v>
      </c>
      <c r="B125">
        <v>3</v>
      </c>
      <c r="C125">
        <v>9.6999999999999993</v>
      </c>
      <c r="D125">
        <v>24.1</v>
      </c>
      <c r="E125">
        <v>0.8</v>
      </c>
      <c r="F125">
        <v>44</v>
      </c>
    </row>
    <row r="126" spans="1:6" x14ac:dyDescent="0.2">
      <c r="A126">
        <v>1972</v>
      </c>
      <c r="B126">
        <v>4</v>
      </c>
      <c r="C126">
        <v>13.4</v>
      </c>
      <c r="D126">
        <v>25.5</v>
      </c>
      <c r="E126">
        <v>2.2999999999999998</v>
      </c>
      <c r="F126">
        <v>186.5</v>
      </c>
    </row>
    <row r="127" spans="1:6" x14ac:dyDescent="0.2">
      <c r="A127">
        <v>1972</v>
      </c>
      <c r="B127">
        <v>5</v>
      </c>
      <c r="C127">
        <v>18.600000000000001</v>
      </c>
      <c r="D127">
        <v>26.7</v>
      </c>
      <c r="E127">
        <v>9.4</v>
      </c>
      <c r="F127">
        <v>116</v>
      </c>
    </row>
    <row r="128" spans="1:6" x14ac:dyDescent="0.2">
      <c r="A128">
        <v>1972</v>
      </c>
      <c r="B128">
        <v>6</v>
      </c>
      <c r="C128">
        <v>21.4</v>
      </c>
      <c r="D128">
        <v>31.2</v>
      </c>
      <c r="E128">
        <v>14.7</v>
      </c>
      <c r="F128">
        <v>107</v>
      </c>
    </row>
    <row r="129" spans="1:6" x14ac:dyDescent="0.2">
      <c r="A129">
        <v>1972</v>
      </c>
      <c r="B129">
        <v>7</v>
      </c>
      <c r="C129">
        <v>25.2</v>
      </c>
      <c r="D129">
        <v>32.1</v>
      </c>
      <c r="E129">
        <v>17.899999999999999</v>
      </c>
      <c r="F129">
        <v>301</v>
      </c>
    </row>
    <row r="130" spans="1:6" x14ac:dyDescent="0.2">
      <c r="A130">
        <v>1972</v>
      </c>
      <c r="B130">
        <v>8</v>
      </c>
      <c r="C130">
        <v>26.6</v>
      </c>
      <c r="D130">
        <v>35.200000000000003</v>
      </c>
      <c r="E130">
        <v>19.100000000000001</v>
      </c>
      <c r="F130">
        <v>94.5</v>
      </c>
    </row>
    <row r="131" spans="1:6" x14ac:dyDescent="0.2">
      <c r="A131">
        <v>1972</v>
      </c>
      <c r="B131">
        <v>9</v>
      </c>
      <c r="C131">
        <v>23.1</v>
      </c>
      <c r="D131">
        <v>31.6</v>
      </c>
      <c r="E131">
        <v>16.2</v>
      </c>
      <c r="F131">
        <v>281</v>
      </c>
    </row>
    <row r="132" spans="1:6" x14ac:dyDescent="0.2">
      <c r="A132">
        <v>1972</v>
      </c>
      <c r="B132">
        <v>10</v>
      </c>
      <c r="C132">
        <v>18.5</v>
      </c>
      <c r="D132">
        <v>26.2</v>
      </c>
      <c r="E132">
        <v>10.9</v>
      </c>
      <c r="F132">
        <v>43.5</v>
      </c>
    </row>
    <row r="133" spans="1:6" x14ac:dyDescent="0.2">
      <c r="A133">
        <v>1972</v>
      </c>
      <c r="B133">
        <v>11</v>
      </c>
      <c r="C133">
        <v>12.3</v>
      </c>
      <c r="D133">
        <v>22.9</v>
      </c>
      <c r="E133">
        <v>3.1</v>
      </c>
      <c r="F133">
        <v>43</v>
      </c>
    </row>
    <row r="134" spans="1:6" x14ac:dyDescent="0.2">
      <c r="A134">
        <v>1972</v>
      </c>
      <c r="B134">
        <v>12</v>
      </c>
      <c r="C134">
        <v>8.1</v>
      </c>
      <c r="D134">
        <v>16.899999999999999</v>
      </c>
      <c r="E134">
        <v>0</v>
      </c>
      <c r="F134">
        <v>155.5</v>
      </c>
    </row>
    <row r="135" spans="1:6" x14ac:dyDescent="0.2">
      <c r="A135">
        <v>1973</v>
      </c>
      <c r="B135">
        <v>1</v>
      </c>
      <c r="C135">
        <v>6.3</v>
      </c>
      <c r="D135">
        <v>17.3</v>
      </c>
      <c r="E135">
        <v>-0.4</v>
      </c>
      <c r="F135">
        <v>136</v>
      </c>
    </row>
    <row r="136" spans="1:6" x14ac:dyDescent="0.2">
      <c r="A136">
        <v>1973</v>
      </c>
      <c r="B136">
        <v>2</v>
      </c>
      <c r="C136">
        <v>6.9</v>
      </c>
      <c r="D136">
        <v>18</v>
      </c>
      <c r="E136">
        <v>-1.9</v>
      </c>
      <c r="F136">
        <v>45</v>
      </c>
    </row>
    <row r="137" spans="1:6" x14ac:dyDescent="0.2">
      <c r="A137">
        <v>1973</v>
      </c>
      <c r="B137">
        <v>3</v>
      </c>
      <c r="C137">
        <v>7.8</v>
      </c>
      <c r="D137">
        <v>22.4</v>
      </c>
      <c r="E137">
        <v>-0.8</v>
      </c>
      <c r="F137">
        <v>10</v>
      </c>
    </row>
    <row r="138" spans="1:6" x14ac:dyDescent="0.2">
      <c r="A138">
        <v>1973</v>
      </c>
      <c r="B138">
        <v>4</v>
      </c>
      <c r="C138">
        <v>15.3</v>
      </c>
      <c r="D138">
        <v>26.6</v>
      </c>
      <c r="E138">
        <v>5.5</v>
      </c>
      <c r="F138">
        <v>143</v>
      </c>
    </row>
    <row r="139" spans="1:6" x14ac:dyDescent="0.2">
      <c r="A139">
        <v>1973</v>
      </c>
      <c r="B139">
        <v>5</v>
      </c>
      <c r="C139">
        <v>17.899999999999999</v>
      </c>
      <c r="D139">
        <v>27.5</v>
      </c>
      <c r="E139">
        <v>9.5</v>
      </c>
      <c r="F139">
        <v>97.5</v>
      </c>
    </row>
    <row r="140" spans="1:6" x14ac:dyDescent="0.2">
      <c r="A140">
        <v>1973</v>
      </c>
      <c r="B140">
        <v>6</v>
      </c>
      <c r="C140">
        <v>19.8</v>
      </c>
      <c r="D140">
        <v>27.8</v>
      </c>
      <c r="E140">
        <v>13.4</v>
      </c>
      <c r="F140">
        <v>121.5</v>
      </c>
    </row>
    <row r="141" spans="1:6" x14ac:dyDescent="0.2">
      <c r="A141">
        <v>1973</v>
      </c>
      <c r="B141">
        <v>7</v>
      </c>
      <c r="C141">
        <v>26.1</v>
      </c>
      <c r="D141">
        <v>34.700000000000003</v>
      </c>
      <c r="E141">
        <v>19.399999999999999</v>
      </c>
      <c r="F141">
        <v>49.5</v>
      </c>
    </row>
    <row r="142" spans="1:6" x14ac:dyDescent="0.2">
      <c r="A142">
        <v>1973</v>
      </c>
      <c r="B142">
        <v>8</v>
      </c>
      <c r="C142">
        <v>28.5</v>
      </c>
      <c r="D142">
        <v>34.299999999999997</v>
      </c>
      <c r="E142">
        <v>24</v>
      </c>
      <c r="F142">
        <v>50</v>
      </c>
    </row>
    <row r="143" spans="1:6" x14ac:dyDescent="0.2">
      <c r="A143">
        <v>1973</v>
      </c>
      <c r="B143">
        <v>9</v>
      </c>
      <c r="C143">
        <v>23.2</v>
      </c>
      <c r="D143">
        <v>34.5</v>
      </c>
      <c r="E143">
        <v>17.100000000000001</v>
      </c>
      <c r="F143">
        <v>155</v>
      </c>
    </row>
    <row r="144" spans="1:6" x14ac:dyDescent="0.2">
      <c r="A144">
        <v>1973</v>
      </c>
      <c r="B144">
        <v>10</v>
      </c>
      <c r="C144">
        <v>17.399999999999999</v>
      </c>
      <c r="D144">
        <v>28.2</v>
      </c>
      <c r="E144">
        <v>9.5</v>
      </c>
      <c r="F144">
        <v>237.5</v>
      </c>
    </row>
    <row r="145" spans="1:6" x14ac:dyDescent="0.2">
      <c r="A145">
        <v>1973</v>
      </c>
      <c r="B145">
        <v>11</v>
      </c>
      <c r="C145">
        <v>12.1</v>
      </c>
      <c r="D145">
        <v>22</v>
      </c>
      <c r="E145">
        <v>3</v>
      </c>
      <c r="F145">
        <v>104.5</v>
      </c>
    </row>
    <row r="146" spans="1:6" x14ac:dyDescent="0.2">
      <c r="A146">
        <v>1973</v>
      </c>
      <c r="B146">
        <v>12</v>
      </c>
      <c r="C146">
        <v>6.6</v>
      </c>
      <c r="D146">
        <v>16.399999999999999</v>
      </c>
      <c r="E146">
        <v>-1.7</v>
      </c>
      <c r="F146">
        <v>0</v>
      </c>
    </row>
    <row r="147" spans="1:6" x14ac:dyDescent="0.2">
      <c r="A147">
        <v>1974</v>
      </c>
      <c r="B147">
        <v>1</v>
      </c>
      <c r="C147">
        <v>4.4000000000000004</v>
      </c>
      <c r="D147">
        <v>13.6</v>
      </c>
      <c r="E147">
        <v>-2</v>
      </c>
      <c r="F147">
        <v>29</v>
      </c>
    </row>
    <row r="148" spans="1:6" x14ac:dyDescent="0.2">
      <c r="A148">
        <v>1974</v>
      </c>
      <c r="B148">
        <v>2</v>
      </c>
      <c r="C148">
        <v>5.0999999999999996</v>
      </c>
      <c r="D148">
        <v>18.100000000000001</v>
      </c>
      <c r="E148">
        <v>-2.7</v>
      </c>
      <c r="F148">
        <v>58.5</v>
      </c>
    </row>
    <row r="149" spans="1:6" x14ac:dyDescent="0.2">
      <c r="A149">
        <v>1974</v>
      </c>
      <c r="B149">
        <v>3</v>
      </c>
      <c r="C149">
        <v>7.3</v>
      </c>
      <c r="D149">
        <v>20.100000000000001</v>
      </c>
      <c r="E149">
        <v>-0.6</v>
      </c>
      <c r="F149">
        <v>114</v>
      </c>
    </row>
    <row r="150" spans="1:6" x14ac:dyDescent="0.2">
      <c r="A150">
        <v>1974</v>
      </c>
      <c r="B150">
        <v>4</v>
      </c>
      <c r="C150">
        <v>14.8</v>
      </c>
      <c r="D150">
        <v>23.8</v>
      </c>
      <c r="E150">
        <v>3.6</v>
      </c>
      <c r="F150">
        <v>151</v>
      </c>
    </row>
    <row r="151" spans="1:6" x14ac:dyDescent="0.2">
      <c r="A151">
        <v>1974</v>
      </c>
      <c r="B151">
        <v>5</v>
      </c>
      <c r="C151">
        <v>19.3</v>
      </c>
      <c r="D151">
        <v>29.5</v>
      </c>
      <c r="E151">
        <v>10.4</v>
      </c>
      <c r="F151">
        <v>93.5</v>
      </c>
    </row>
    <row r="152" spans="1:6" x14ac:dyDescent="0.2">
      <c r="A152">
        <v>1974</v>
      </c>
      <c r="B152">
        <v>6</v>
      </c>
      <c r="C152">
        <v>21.9</v>
      </c>
      <c r="D152">
        <v>28.9</v>
      </c>
      <c r="E152">
        <v>16.100000000000001</v>
      </c>
      <c r="F152">
        <v>204.5</v>
      </c>
    </row>
    <row r="153" spans="1:6" x14ac:dyDescent="0.2">
      <c r="A153">
        <v>1974</v>
      </c>
      <c r="B153">
        <v>7</v>
      </c>
      <c r="C153">
        <v>23.4</v>
      </c>
      <c r="D153">
        <v>34.200000000000003</v>
      </c>
      <c r="E153">
        <v>16.2</v>
      </c>
      <c r="F153">
        <v>270.5</v>
      </c>
    </row>
    <row r="154" spans="1:6" x14ac:dyDescent="0.2">
      <c r="A154">
        <v>1974</v>
      </c>
      <c r="B154">
        <v>8</v>
      </c>
      <c r="C154">
        <v>27.1</v>
      </c>
      <c r="D154">
        <v>34.200000000000003</v>
      </c>
      <c r="E154">
        <v>22.2</v>
      </c>
      <c r="F154">
        <v>179</v>
      </c>
    </row>
    <row r="155" spans="1:6" x14ac:dyDescent="0.2">
      <c r="A155">
        <v>1974</v>
      </c>
      <c r="B155">
        <v>9</v>
      </c>
      <c r="C155">
        <v>22.8</v>
      </c>
      <c r="D155">
        <v>32.299999999999997</v>
      </c>
      <c r="E155">
        <v>14.7</v>
      </c>
      <c r="F155">
        <v>246.5</v>
      </c>
    </row>
    <row r="156" spans="1:6" x14ac:dyDescent="0.2">
      <c r="A156">
        <v>1974</v>
      </c>
      <c r="B156">
        <v>10</v>
      </c>
      <c r="C156">
        <v>17.8</v>
      </c>
      <c r="D156">
        <v>26.1</v>
      </c>
      <c r="E156">
        <v>9.1</v>
      </c>
      <c r="F156">
        <v>165</v>
      </c>
    </row>
    <row r="157" spans="1:6" x14ac:dyDescent="0.2">
      <c r="A157">
        <v>1974</v>
      </c>
      <c r="B157">
        <v>11</v>
      </c>
      <c r="C157">
        <v>11.7</v>
      </c>
      <c r="D157">
        <v>22.3</v>
      </c>
      <c r="E157">
        <v>3.2</v>
      </c>
      <c r="F157">
        <v>30.5</v>
      </c>
    </row>
    <row r="158" spans="1:6" x14ac:dyDescent="0.2">
      <c r="A158">
        <v>1974</v>
      </c>
      <c r="B158">
        <v>12</v>
      </c>
      <c r="C158">
        <v>6.7</v>
      </c>
      <c r="D158">
        <v>15.7</v>
      </c>
      <c r="E158">
        <v>-0.1</v>
      </c>
      <c r="F158">
        <v>38.5</v>
      </c>
    </row>
    <row r="159" spans="1:6" x14ac:dyDescent="0.2">
      <c r="A159">
        <v>1975</v>
      </c>
      <c r="B159">
        <v>1</v>
      </c>
      <c r="C159">
        <v>4.7</v>
      </c>
      <c r="D159">
        <v>17.600000000000001</v>
      </c>
      <c r="E159">
        <v>-1.8</v>
      </c>
      <c r="F159">
        <v>67.5</v>
      </c>
    </row>
    <row r="160" spans="1:6" x14ac:dyDescent="0.2">
      <c r="A160">
        <v>1975</v>
      </c>
      <c r="B160">
        <v>2</v>
      </c>
      <c r="C160">
        <v>5.0999999999999996</v>
      </c>
      <c r="D160">
        <v>15</v>
      </c>
      <c r="E160">
        <v>-2.6</v>
      </c>
      <c r="F160">
        <v>75</v>
      </c>
    </row>
    <row r="161" spans="1:6" x14ac:dyDescent="0.2">
      <c r="A161">
        <v>1975</v>
      </c>
      <c r="B161">
        <v>3</v>
      </c>
      <c r="C161">
        <v>7.9</v>
      </c>
      <c r="D161">
        <v>18.600000000000001</v>
      </c>
      <c r="E161">
        <v>-0.8</v>
      </c>
      <c r="F161">
        <v>108</v>
      </c>
    </row>
    <row r="162" spans="1:6" x14ac:dyDescent="0.2">
      <c r="A162">
        <v>1975</v>
      </c>
      <c r="B162">
        <v>4</v>
      </c>
      <c r="C162">
        <v>14.3</v>
      </c>
      <c r="D162">
        <v>24</v>
      </c>
      <c r="E162">
        <v>4.8</v>
      </c>
      <c r="F162">
        <v>161.5</v>
      </c>
    </row>
    <row r="163" spans="1:6" x14ac:dyDescent="0.2">
      <c r="A163">
        <v>1975</v>
      </c>
      <c r="B163">
        <v>5</v>
      </c>
      <c r="C163">
        <v>18.600000000000001</v>
      </c>
      <c r="D163">
        <v>28.3</v>
      </c>
      <c r="E163">
        <v>11.5</v>
      </c>
      <c r="F163">
        <v>151</v>
      </c>
    </row>
    <row r="164" spans="1:6" x14ac:dyDescent="0.2">
      <c r="A164">
        <v>1975</v>
      </c>
      <c r="B164">
        <v>6</v>
      </c>
      <c r="C164">
        <v>21.6</v>
      </c>
      <c r="D164">
        <v>29.5</v>
      </c>
      <c r="E164">
        <v>15.4</v>
      </c>
      <c r="F164">
        <v>106.5</v>
      </c>
    </row>
    <row r="165" spans="1:6" x14ac:dyDescent="0.2">
      <c r="A165">
        <v>1975</v>
      </c>
      <c r="B165">
        <v>7</v>
      </c>
      <c r="C165">
        <v>25.6</v>
      </c>
      <c r="D165">
        <v>35.6</v>
      </c>
      <c r="E165">
        <v>17.899999999999999</v>
      </c>
      <c r="F165">
        <v>175.5</v>
      </c>
    </row>
    <row r="166" spans="1:6" x14ac:dyDescent="0.2">
      <c r="A166">
        <v>1975</v>
      </c>
      <c r="B166">
        <v>8</v>
      </c>
      <c r="C166">
        <v>27.3</v>
      </c>
      <c r="D166">
        <v>35.5</v>
      </c>
      <c r="E166">
        <v>21</v>
      </c>
      <c r="F166">
        <v>26.5</v>
      </c>
    </row>
    <row r="167" spans="1:6" x14ac:dyDescent="0.2">
      <c r="A167">
        <v>1975</v>
      </c>
      <c r="B167">
        <v>9</v>
      </c>
      <c r="C167">
        <v>25.2</v>
      </c>
      <c r="D167">
        <v>34.1</v>
      </c>
      <c r="E167">
        <v>15.8</v>
      </c>
      <c r="F167">
        <v>99.5</v>
      </c>
    </row>
    <row r="168" spans="1:6" x14ac:dyDescent="0.2">
      <c r="A168">
        <v>1975</v>
      </c>
      <c r="B168">
        <v>10</v>
      </c>
      <c r="C168">
        <v>17.3</v>
      </c>
      <c r="D168">
        <v>27.9</v>
      </c>
      <c r="E168">
        <v>7.5</v>
      </c>
      <c r="F168">
        <v>273</v>
      </c>
    </row>
    <row r="169" spans="1:6" x14ac:dyDescent="0.2">
      <c r="A169">
        <v>1975</v>
      </c>
      <c r="B169">
        <v>11</v>
      </c>
      <c r="C169">
        <v>12.7</v>
      </c>
      <c r="D169">
        <v>25.1</v>
      </c>
      <c r="E169">
        <v>3.1</v>
      </c>
      <c r="F169">
        <v>245</v>
      </c>
    </row>
    <row r="170" spans="1:6" x14ac:dyDescent="0.2">
      <c r="A170">
        <v>1975</v>
      </c>
      <c r="B170">
        <v>12</v>
      </c>
      <c r="C170">
        <v>6.7</v>
      </c>
      <c r="D170">
        <v>15.3</v>
      </c>
      <c r="E170">
        <v>0.5</v>
      </c>
      <c r="F170">
        <v>51.5</v>
      </c>
    </row>
    <row r="171" spans="1:6" x14ac:dyDescent="0.2">
      <c r="A171">
        <v>1976</v>
      </c>
      <c r="B171">
        <v>1</v>
      </c>
      <c r="C171">
        <v>5.4</v>
      </c>
      <c r="D171">
        <v>18.600000000000001</v>
      </c>
      <c r="E171">
        <v>-3.9</v>
      </c>
      <c r="F171">
        <v>0.5</v>
      </c>
    </row>
    <row r="172" spans="1:6" x14ac:dyDescent="0.2">
      <c r="A172">
        <v>1976</v>
      </c>
      <c r="B172">
        <v>2</v>
      </c>
      <c r="C172">
        <v>6.8</v>
      </c>
      <c r="D172">
        <v>18.3</v>
      </c>
      <c r="E172">
        <v>-2.8</v>
      </c>
      <c r="F172">
        <v>128</v>
      </c>
    </row>
    <row r="173" spans="1:6" x14ac:dyDescent="0.2">
      <c r="A173">
        <v>1976</v>
      </c>
      <c r="B173">
        <v>3</v>
      </c>
      <c r="C173">
        <v>9</v>
      </c>
      <c r="D173">
        <v>19.100000000000001</v>
      </c>
      <c r="E173">
        <v>1.2</v>
      </c>
      <c r="F173">
        <v>87</v>
      </c>
    </row>
    <row r="174" spans="1:6" x14ac:dyDescent="0.2">
      <c r="A174">
        <v>1976</v>
      </c>
      <c r="B174">
        <v>4</v>
      </c>
      <c r="C174">
        <v>13</v>
      </c>
      <c r="D174">
        <v>23.7</v>
      </c>
      <c r="E174">
        <v>3.8</v>
      </c>
      <c r="F174">
        <v>129</v>
      </c>
    </row>
    <row r="175" spans="1:6" x14ac:dyDescent="0.2">
      <c r="A175">
        <v>1976</v>
      </c>
      <c r="B175">
        <v>5</v>
      </c>
      <c r="C175">
        <v>17.7</v>
      </c>
      <c r="D175">
        <v>28.2</v>
      </c>
      <c r="E175">
        <v>8.4</v>
      </c>
      <c r="F175">
        <v>218</v>
      </c>
    </row>
    <row r="176" spans="1:6" x14ac:dyDescent="0.2">
      <c r="A176">
        <v>1976</v>
      </c>
      <c r="B176">
        <v>6</v>
      </c>
      <c r="C176">
        <v>21.5</v>
      </c>
      <c r="D176">
        <v>29.3</v>
      </c>
      <c r="E176">
        <v>14.1</v>
      </c>
      <c r="F176">
        <v>186</v>
      </c>
    </row>
    <row r="177" spans="1:6" x14ac:dyDescent="0.2">
      <c r="A177">
        <v>1976</v>
      </c>
      <c r="B177">
        <v>7</v>
      </c>
      <c r="C177">
        <v>23.9</v>
      </c>
      <c r="D177">
        <v>33.4</v>
      </c>
      <c r="E177">
        <v>14</v>
      </c>
      <c r="F177">
        <v>102</v>
      </c>
    </row>
    <row r="178" spans="1:6" x14ac:dyDescent="0.2">
      <c r="A178">
        <v>1976</v>
      </c>
      <c r="B178">
        <v>8</v>
      </c>
      <c r="C178">
        <v>25.1</v>
      </c>
      <c r="D178">
        <v>35.4</v>
      </c>
      <c r="E178">
        <v>17.899999999999999</v>
      </c>
      <c r="F178">
        <v>159</v>
      </c>
    </row>
    <row r="179" spans="1:6" x14ac:dyDescent="0.2">
      <c r="A179">
        <v>1976</v>
      </c>
      <c r="B179">
        <v>9</v>
      </c>
      <c r="C179">
        <v>22</v>
      </c>
      <c r="D179">
        <v>31.6</v>
      </c>
      <c r="E179">
        <v>13.5</v>
      </c>
      <c r="F179">
        <v>284</v>
      </c>
    </row>
    <row r="180" spans="1:6" x14ac:dyDescent="0.2">
      <c r="A180">
        <v>1976</v>
      </c>
      <c r="B180">
        <v>10</v>
      </c>
      <c r="C180">
        <v>17.5</v>
      </c>
      <c r="D180">
        <v>26.9</v>
      </c>
      <c r="E180">
        <v>7.8</v>
      </c>
      <c r="F180">
        <v>155</v>
      </c>
    </row>
    <row r="181" spans="1:6" x14ac:dyDescent="0.2">
      <c r="A181">
        <v>1976</v>
      </c>
      <c r="B181">
        <v>11</v>
      </c>
      <c r="C181">
        <v>11.2</v>
      </c>
      <c r="D181">
        <v>24.1</v>
      </c>
      <c r="E181">
        <v>1.6</v>
      </c>
      <c r="F181">
        <v>78</v>
      </c>
    </row>
    <row r="182" spans="1:6" x14ac:dyDescent="0.2">
      <c r="A182">
        <v>1976</v>
      </c>
      <c r="B182">
        <v>12</v>
      </c>
      <c r="C182">
        <v>7.3</v>
      </c>
      <c r="D182">
        <v>15.2</v>
      </c>
      <c r="E182">
        <v>-2.2999999999999998</v>
      </c>
      <c r="F182">
        <v>31</v>
      </c>
    </row>
    <row r="183" spans="1:6" x14ac:dyDescent="0.2">
      <c r="A183">
        <v>1977</v>
      </c>
      <c r="B183">
        <v>1</v>
      </c>
      <c r="C183">
        <v>3.4</v>
      </c>
      <c r="D183">
        <v>17.899999999999999</v>
      </c>
      <c r="E183">
        <v>-2.7</v>
      </c>
      <c r="F183">
        <v>19.5</v>
      </c>
    </row>
    <row r="184" spans="1:6" x14ac:dyDescent="0.2">
      <c r="A184">
        <v>1977</v>
      </c>
      <c r="B184">
        <v>2</v>
      </c>
      <c r="C184">
        <v>4.9000000000000004</v>
      </c>
      <c r="D184">
        <v>20.3</v>
      </c>
      <c r="E184">
        <v>-3.8</v>
      </c>
      <c r="F184">
        <v>27</v>
      </c>
    </row>
    <row r="185" spans="1:6" x14ac:dyDescent="0.2">
      <c r="A185">
        <v>1977</v>
      </c>
      <c r="B185">
        <v>3</v>
      </c>
      <c r="C185">
        <v>9.3000000000000007</v>
      </c>
      <c r="D185">
        <v>20.100000000000001</v>
      </c>
      <c r="E185">
        <v>-3.3</v>
      </c>
      <c r="F185">
        <v>167</v>
      </c>
    </row>
    <row r="186" spans="1:6" x14ac:dyDescent="0.2">
      <c r="A186">
        <v>1977</v>
      </c>
      <c r="B186">
        <v>4</v>
      </c>
      <c r="C186">
        <v>15.1</v>
      </c>
      <c r="D186">
        <v>25.8</v>
      </c>
      <c r="E186">
        <v>5.3</v>
      </c>
      <c r="F186">
        <v>110.5</v>
      </c>
    </row>
    <row r="187" spans="1:6" x14ac:dyDescent="0.2">
      <c r="A187">
        <v>1977</v>
      </c>
      <c r="B187">
        <v>5</v>
      </c>
      <c r="C187">
        <v>18.7</v>
      </c>
      <c r="D187">
        <v>30.5</v>
      </c>
      <c r="E187">
        <v>10.4</v>
      </c>
      <c r="F187">
        <v>96.5</v>
      </c>
    </row>
    <row r="188" spans="1:6" x14ac:dyDescent="0.2">
      <c r="A188">
        <v>1977</v>
      </c>
      <c r="B188">
        <v>6</v>
      </c>
      <c r="C188">
        <v>20.9</v>
      </c>
      <c r="D188">
        <v>29.5</v>
      </c>
      <c r="E188">
        <v>14.1</v>
      </c>
      <c r="F188">
        <v>202.5</v>
      </c>
    </row>
    <row r="189" spans="1:6" x14ac:dyDescent="0.2">
      <c r="A189">
        <v>1977</v>
      </c>
      <c r="B189">
        <v>7</v>
      </c>
      <c r="C189">
        <v>25.8</v>
      </c>
      <c r="D189">
        <v>33.6</v>
      </c>
      <c r="E189">
        <v>17.399999999999999</v>
      </c>
      <c r="F189">
        <v>91</v>
      </c>
    </row>
    <row r="190" spans="1:6" x14ac:dyDescent="0.2">
      <c r="A190">
        <v>1977</v>
      </c>
      <c r="B190">
        <v>8</v>
      </c>
      <c r="C190">
        <v>25</v>
      </c>
      <c r="D190">
        <v>34.9</v>
      </c>
      <c r="E190">
        <v>17.600000000000001</v>
      </c>
      <c r="F190">
        <v>290.5</v>
      </c>
    </row>
    <row r="191" spans="1:6" x14ac:dyDescent="0.2">
      <c r="A191">
        <v>1977</v>
      </c>
      <c r="B191">
        <v>9</v>
      </c>
      <c r="C191">
        <v>24.3</v>
      </c>
      <c r="D191">
        <v>32.299999999999997</v>
      </c>
      <c r="E191">
        <v>16.5</v>
      </c>
      <c r="F191">
        <v>233.5</v>
      </c>
    </row>
    <row r="192" spans="1:6" x14ac:dyDescent="0.2">
      <c r="A192">
        <v>1977</v>
      </c>
      <c r="B192">
        <v>10</v>
      </c>
      <c r="C192">
        <v>18.7</v>
      </c>
      <c r="D192">
        <v>27.6</v>
      </c>
      <c r="E192">
        <v>10.6</v>
      </c>
      <c r="F192">
        <v>60</v>
      </c>
    </row>
    <row r="193" spans="1:6" x14ac:dyDescent="0.2">
      <c r="A193">
        <v>1977</v>
      </c>
      <c r="B193">
        <v>11</v>
      </c>
      <c r="C193">
        <v>14.8</v>
      </c>
      <c r="D193">
        <v>26.7</v>
      </c>
      <c r="E193">
        <v>5.3</v>
      </c>
      <c r="F193">
        <v>102.5</v>
      </c>
    </row>
    <row r="194" spans="1:6" x14ac:dyDescent="0.2">
      <c r="A194">
        <v>1977</v>
      </c>
      <c r="B194">
        <v>12</v>
      </c>
      <c r="C194">
        <v>8.9</v>
      </c>
      <c r="D194">
        <v>22</v>
      </c>
      <c r="E194">
        <v>0.3</v>
      </c>
      <c r="F194">
        <v>53.5</v>
      </c>
    </row>
    <row r="195" spans="1:6" x14ac:dyDescent="0.2">
      <c r="A195">
        <v>1978</v>
      </c>
      <c r="B195">
        <v>1</v>
      </c>
      <c r="C195">
        <v>5.6</v>
      </c>
      <c r="D195">
        <v>16.3</v>
      </c>
      <c r="E195">
        <v>-1.6</v>
      </c>
      <c r="F195">
        <v>28</v>
      </c>
    </row>
    <row r="196" spans="1:6" x14ac:dyDescent="0.2">
      <c r="A196">
        <v>1978</v>
      </c>
      <c r="B196">
        <v>2</v>
      </c>
      <c r="C196">
        <v>4.2</v>
      </c>
      <c r="D196">
        <v>15.7</v>
      </c>
      <c r="E196">
        <v>-2</v>
      </c>
      <c r="F196">
        <v>32</v>
      </c>
    </row>
    <row r="197" spans="1:6" x14ac:dyDescent="0.2">
      <c r="A197">
        <v>1978</v>
      </c>
      <c r="B197">
        <v>3</v>
      </c>
      <c r="C197">
        <v>8.6999999999999993</v>
      </c>
      <c r="D197">
        <v>18.8</v>
      </c>
      <c r="E197">
        <v>1</v>
      </c>
      <c r="F197">
        <v>115.5</v>
      </c>
    </row>
    <row r="198" spans="1:6" x14ac:dyDescent="0.2">
      <c r="A198">
        <v>1978</v>
      </c>
      <c r="B198">
        <v>4</v>
      </c>
      <c r="C198">
        <v>13.9</v>
      </c>
      <c r="D198">
        <v>24.5</v>
      </c>
      <c r="E198">
        <v>4.5</v>
      </c>
      <c r="F198">
        <v>186.5</v>
      </c>
    </row>
    <row r="199" spans="1:6" x14ac:dyDescent="0.2">
      <c r="A199">
        <v>1978</v>
      </c>
      <c r="B199">
        <v>5</v>
      </c>
      <c r="C199">
        <v>19</v>
      </c>
      <c r="D199">
        <v>26</v>
      </c>
      <c r="E199">
        <v>8.6</v>
      </c>
      <c r="F199">
        <v>130</v>
      </c>
    </row>
    <row r="200" spans="1:6" x14ac:dyDescent="0.2">
      <c r="A200">
        <v>1978</v>
      </c>
      <c r="B200">
        <v>6</v>
      </c>
      <c r="C200">
        <v>23.8</v>
      </c>
      <c r="D200">
        <v>31.6</v>
      </c>
      <c r="E200">
        <v>15</v>
      </c>
      <c r="F200">
        <v>104</v>
      </c>
    </row>
    <row r="201" spans="1:6" x14ac:dyDescent="0.2">
      <c r="A201">
        <v>1978</v>
      </c>
      <c r="B201">
        <v>7</v>
      </c>
      <c r="C201">
        <v>27.8</v>
      </c>
      <c r="D201">
        <v>33.6</v>
      </c>
      <c r="E201">
        <v>21.5</v>
      </c>
      <c r="F201">
        <v>45</v>
      </c>
    </row>
    <row r="202" spans="1:6" x14ac:dyDescent="0.2">
      <c r="A202">
        <v>1978</v>
      </c>
      <c r="B202">
        <v>8</v>
      </c>
      <c r="C202">
        <v>28.9</v>
      </c>
      <c r="D202">
        <v>36.299999999999997</v>
      </c>
      <c r="E202">
        <v>21.9</v>
      </c>
      <c r="F202">
        <v>26</v>
      </c>
    </row>
    <row r="203" spans="1:6" x14ac:dyDescent="0.2">
      <c r="A203">
        <v>1978</v>
      </c>
      <c r="B203">
        <v>9</v>
      </c>
      <c r="C203">
        <v>22.2</v>
      </c>
      <c r="D203">
        <v>33.1</v>
      </c>
      <c r="E203">
        <v>15.8</v>
      </c>
      <c r="F203">
        <v>124</v>
      </c>
    </row>
    <row r="204" spans="1:6" x14ac:dyDescent="0.2">
      <c r="A204">
        <v>1978</v>
      </c>
      <c r="B204">
        <v>10</v>
      </c>
      <c r="C204">
        <v>17.3</v>
      </c>
      <c r="D204">
        <v>26.6</v>
      </c>
      <c r="E204">
        <v>10.4</v>
      </c>
      <c r="F204">
        <v>147</v>
      </c>
    </row>
    <row r="205" spans="1:6" x14ac:dyDescent="0.2">
      <c r="A205">
        <v>1978</v>
      </c>
      <c r="B205">
        <v>11</v>
      </c>
      <c r="C205">
        <v>12.9</v>
      </c>
      <c r="D205">
        <v>22.1</v>
      </c>
      <c r="E205">
        <v>5.4</v>
      </c>
      <c r="F205">
        <v>65</v>
      </c>
    </row>
    <row r="206" spans="1:6" x14ac:dyDescent="0.2">
      <c r="A206">
        <v>1978</v>
      </c>
      <c r="B206">
        <v>12</v>
      </c>
      <c r="C206">
        <v>8.5</v>
      </c>
      <c r="D206">
        <v>18.899999999999999</v>
      </c>
      <c r="E206">
        <v>0</v>
      </c>
      <c r="F206">
        <v>27</v>
      </c>
    </row>
    <row r="207" spans="1:6" x14ac:dyDescent="0.2">
      <c r="A207">
        <v>1979</v>
      </c>
      <c r="B207">
        <v>1</v>
      </c>
      <c r="C207">
        <v>6.6</v>
      </c>
      <c r="D207">
        <v>16.600000000000001</v>
      </c>
      <c r="E207">
        <v>-0.5</v>
      </c>
      <c r="F207">
        <v>59</v>
      </c>
    </row>
    <row r="208" spans="1:6" x14ac:dyDescent="0.2">
      <c r="A208">
        <v>1979</v>
      </c>
      <c r="B208">
        <v>2</v>
      </c>
      <c r="C208">
        <v>8.4</v>
      </c>
      <c r="D208">
        <v>19.899999999999999</v>
      </c>
      <c r="E208">
        <v>1.5</v>
      </c>
      <c r="F208">
        <v>96</v>
      </c>
    </row>
    <row r="209" spans="1:6" x14ac:dyDescent="0.2">
      <c r="A209">
        <v>1979</v>
      </c>
      <c r="B209">
        <v>3</v>
      </c>
      <c r="C209">
        <v>9.9</v>
      </c>
      <c r="D209">
        <v>22.8</v>
      </c>
      <c r="E209">
        <v>1.6</v>
      </c>
      <c r="F209">
        <v>92</v>
      </c>
    </row>
    <row r="210" spans="1:6" x14ac:dyDescent="0.2">
      <c r="A210">
        <v>1979</v>
      </c>
      <c r="B210">
        <v>4</v>
      </c>
      <c r="C210">
        <v>13.9</v>
      </c>
      <c r="D210">
        <v>24</v>
      </c>
      <c r="E210">
        <v>5.8</v>
      </c>
      <c r="F210">
        <v>109.5</v>
      </c>
    </row>
    <row r="211" spans="1:6" x14ac:dyDescent="0.2">
      <c r="A211">
        <v>1979</v>
      </c>
      <c r="B211">
        <v>5</v>
      </c>
      <c r="C211">
        <v>18.600000000000001</v>
      </c>
      <c r="D211">
        <v>27.9</v>
      </c>
      <c r="E211">
        <v>10.3</v>
      </c>
      <c r="F211">
        <v>148.5</v>
      </c>
    </row>
    <row r="212" spans="1:6" x14ac:dyDescent="0.2">
      <c r="A212">
        <v>1979</v>
      </c>
      <c r="B212">
        <v>6</v>
      </c>
      <c r="C212">
        <v>24.4</v>
      </c>
      <c r="D212">
        <v>34.1</v>
      </c>
      <c r="E212">
        <v>15.5</v>
      </c>
      <c r="F212">
        <v>63</v>
      </c>
    </row>
    <row r="213" spans="1:6" x14ac:dyDescent="0.2">
      <c r="A213">
        <v>1979</v>
      </c>
      <c r="B213">
        <v>7</v>
      </c>
      <c r="C213">
        <v>25.2</v>
      </c>
      <c r="D213">
        <v>34.299999999999997</v>
      </c>
      <c r="E213">
        <v>18.100000000000001</v>
      </c>
      <c r="F213">
        <v>88.5</v>
      </c>
    </row>
    <row r="214" spans="1:6" x14ac:dyDescent="0.2">
      <c r="A214">
        <v>1979</v>
      </c>
      <c r="B214">
        <v>8</v>
      </c>
      <c r="C214">
        <v>27.4</v>
      </c>
      <c r="D214">
        <v>33.5</v>
      </c>
      <c r="E214">
        <v>20.7</v>
      </c>
      <c r="F214">
        <v>104.5</v>
      </c>
    </row>
    <row r="215" spans="1:6" x14ac:dyDescent="0.2">
      <c r="A215">
        <v>1979</v>
      </c>
      <c r="B215">
        <v>9</v>
      </c>
      <c r="C215">
        <v>24.1</v>
      </c>
      <c r="D215">
        <v>32.700000000000003</v>
      </c>
      <c r="E215">
        <v>16.8</v>
      </c>
      <c r="F215">
        <v>146.5</v>
      </c>
    </row>
    <row r="216" spans="1:6" x14ac:dyDescent="0.2">
      <c r="A216">
        <v>1979</v>
      </c>
      <c r="B216">
        <v>10</v>
      </c>
      <c r="C216">
        <v>19.600000000000001</v>
      </c>
      <c r="D216">
        <v>32.6</v>
      </c>
      <c r="E216">
        <v>12.7</v>
      </c>
      <c r="F216">
        <v>320.5</v>
      </c>
    </row>
    <row r="217" spans="1:6" x14ac:dyDescent="0.2">
      <c r="A217">
        <v>1979</v>
      </c>
      <c r="B217">
        <v>11</v>
      </c>
      <c r="C217">
        <v>14.3</v>
      </c>
      <c r="D217">
        <v>25.3</v>
      </c>
      <c r="E217">
        <v>5.0999999999999996</v>
      </c>
      <c r="F217">
        <v>182.5</v>
      </c>
    </row>
    <row r="218" spans="1:6" x14ac:dyDescent="0.2">
      <c r="A218">
        <v>1979</v>
      </c>
      <c r="B218">
        <v>12</v>
      </c>
      <c r="C218">
        <v>10.1</v>
      </c>
      <c r="D218">
        <v>18.7</v>
      </c>
      <c r="E218">
        <v>3.3</v>
      </c>
      <c r="F218">
        <v>43</v>
      </c>
    </row>
    <row r="219" spans="1:6" x14ac:dyDescent="0.2">
      <c r="A219">
        <v>1980</v>
      </c>
      <c r="B219">
        <v>1</v>
      </c>
      <c r="C219">
        <v>5.6</v>
      </c>
      <c r="D219">
        <v>18.8</v>
      </c>
      <c r="E219">
        <v>-1.1000000000000001</v>
      </c>
      <c r="F219">
        <v>88.5</v>
      </c>
    </row>
    <row r="220" spans="1:6" x14ac:dyDescent="0.2">
      <c r="A220">
        <v>1980</v>
      </c>
      <c r="B220">
        <v>2</v>
      </c>
      <c r="C220">
        <v>5.2</v>
      </c>
      <c r="D220">
        <v>13.3</v>
      </c>
      <c r="E220">
        <v>-1.2</v>
      </c>
      <c r="F220">
        <v>26</v>
      </c>
    </row>
    <row r="221" spans="1:6" x14ac:dyDescent="0.2">
      <c r="A221">
        <v>1980</v>
      </c>
      <c r="B221">
        <v>3</v>
      </c>
      <c r="C221">
        <v>8.1999999999999993</v>
      </c>
      <c r="D221">
        <v>21.2</v>
      </c>
      <c r="E221">
        <v>1.3</v>
      </c>
      <c r="F221">
        <v>173.5</v>
      </c>
    </row>
    <row r="222" spans="1:6" x14ac:dyDescent="0.2">
      <c r="A222">
        <v>1980</v>
      </c>
      <c r="B222">
        <v>4</v>
      </c>
      <c r="C222">
        <v>13.6</v>
      </c>
      <c r="D222">
        <v>24</v>
      </c>
      <c r="E222">
        <v>4.5999999999999996</v>
      </c>
      <c r="F222">
        <v>107</v>
      </c>
    </row>
    <row r="223" spans="1:6" x14ac:dyDescent="0.2">
      <c r="A223">
        <v>1980</v>
      </c>
      <c r="B223">
        <v>5</v>
      </c>
      <c r="C223">
        <v>19.2</v>
      </c>
      <c r="D223">
        <v>29.5</v>
      </c>
      <c r="E223">
        <v>9.6</v>
      </c>
      <c r="F223">
        <v>154.5</v>
      </c>
    </row>
    <row r="224" spans="1:6" x14ac:dyDescent="0.2">
      <c r="A224">
        <v>1980</v>
      </c>
      <c r="B224">
        <v>6</v>
      </c>
      <c r="C224">
        <v>23.6</v>
      </c>
      <c r="D224">
        <v>31.6</v>
      </c>
      <c r="E224">
        <v>17.7</v>
      </c>
      <c r="F224">
        <v>172.5</v>
      </c>
    </row>
    <row r="225" spans="1:6" x14ac:dyDescent="0.2">
      <c r="A225">
        <v>1980</v>
      </c>
      <c r="B225">
        <v>7</v>
      </c>
      <c r="C225">
        <v>23.8</v>
      </c>
      <c r="D225">
        <v>33</v>
      </c>
      <c r="E225">
        <v>16.399999999999999</v>
      </c>
      <c r="F225">
        <v>202</v>
      </c>
    </row>
    <row r="226" spans="1:6" x14ac:dyDescent="0.2">
      <c r="A226">
        <v>1980</v>
      </c>
      <c r="B226">
        <v>8</v>
      </c>
      <c r="C226">
        <v>23.4</v>
      </c>
      <c r="D226">
        <v>32.200000000000003</v>
      </c>
      <c r="E226">
        <v>17.600000000000001</v>
      </c>
      <c r="F226">
        <v>168.5</v>
      </c>
    </row>
    <row r="227" spans="1:6" x14ac:dyDescent="0.2">
      <c r="A227">
        <v>1980</v>
      </c>
      <c r="B227">
        <v>9</v>
      </c>
      <c r="C227">
        <v>23</v>
      </c>
      <c r="D227">
        <v>31.9</v>
      </c>
      <c r="E227">
        <v>13.2</v>
      </c>
      <c r="F227">
        <v>181.5</v>
      </c>
    </row>
    <row r="228" spans="1:6" x14ac:dyDescent="0.2">
      <c r="A228">
        <v>1980</v>
      </c>
      <c r="B228">
        <v>10</v>
      </c>
      <c r="C228">
        <v>18.2</v>
      </c>
      <c r="D228">
        <v>28.8</v>
      </c>
      <c r="E228">
        <v>8.6999999999999993</v>
      </c>
      <c r="F228">
        <v>136</v>
      </c>
    </row>
    <row r="229" spans="1:6" x14ac:dyDescent="0.2">
      <c r="A229">
        <v>1980</v>
      </c>
      <c r="B229">
        <v>11</v>
      </c>
      <c r="C229">
        <v>13</v>
      </c>
      <c r="D229">
        <v>21.8</v>
      </c>
      <c r="E229">
        <v>5.0999999999999996</v>
      </c>
      <c r="F229">
        <v>133.5</v>
      </c>
    </row>
    <row r="230" spans="1:6" x14ac:dyDescent="0.2">
      <c r="A230">
        <v>1980</v>
      </c>
      <c r="B230">
        <v>12</v>
      </c>
      <c r="C230">
        <v>7.7</v>
      </c>
      <c r="D230">
        <v>19.3</v>
      </c>
      <c r="E230">
        <v>-0.7</v>
      </c>
      <c r="F230">
        <v>34</v>
      </c>
    </row>
    <row r="231" spans="1:6" x14ac:dyDescent="0.2">
      <c r="A231">
        <v>1981</v>
      </c>
      <c r="B231">
        <v>1</v>
      </c>
      <c r="C231">
        <v>4.4000000000000004</v>
      </c>
      <c r="D231">
        <v>12</v>
      </c>
      <c r="E231">
        <v>-2.2000000000000002</v>
      </c>
      <c r="F231">
        <v>3.5</v>
      </c>
    </row>
    <row r="232" spans="1:6" x14ac:dyDescent="0.2">
      <c r="A232">
        <v>1981</v>
      </c>
      <c r="B232">
        <v>2</v>
      </c>
      <c r="C232">
        <v>5.3</v>
      </c>
      <c r="D232">
        <v>17.2</v>
      </c>
      <c r="E232">
        <v>-3.5</v>
      </c>
      <c r="F232">
        <v>38</v>
      </c>
    </row>
    <row r="233" spans="1:6" x14ac:dyDescent="0.2">
      <c r="A233">
        <v>1981</v>
      </c>
      <c r="B233">
        <v>3</v>
      </c>
      <c r="C233">
        <v>9</v>
      </c>
      <c r="D233">
        <v>20.6</v>
      </c>
      <c r="E233">
        <v>0.2</v>
      </c>
      <c r="F233">
        <v>113</v>
      </c>
    </row>
    <row r="234" spans="1:6" x14ac:dyDescent="0.2">
      <c r="A234">
        <v>1981</v>
      </c>
      <c r="B234">
        <v>4</v>
      </c>
      <c r="C234">
        <v>13.9</v>
      </c>
      <c r="D234">
        <v>23.9</v>
      </c>
      <c r="E234">
        <v>2.7</v>
      </c>
      <c r="F234">
        <v>166</v>
      </c>
    </row>
    <row r="235" spans="1:6" x14ac:dyDescent="0.2">
      <c r="A235">
        <v>1981</v>
      </c>
      <c r="B235">
        <v>5</v>
      </c>
      <c r="C235">
        <v>17.5</v>
      </c>
      <c r="D235">
        <v>28.4</v>
      </c>
      <c r="E235">
        <v>10.199999999999999</v>
      </c>
      <c r="F235">
        <v>151.5</v>
      </c>
    </row>
    <row r="236" spans="1:6" x14ac:dyDescent="0.2">
      <c r="A236">
        <v>1981</v>
      </c>
      <c r="B236">
        <v>6</v>
      </c>
      <c r="C236">
        <v>20.2</v>
      </c>
      <c r="D236">
        <v>32</v>
      </c>
      <c r="E236">
        <v>12.4</v>
      </c>
      <c r="F236">
        <v>103</v>
      </c>
    </row>
    <row r="237" spans="1:6" x14ac:dyDescent="0.2">
      <c r="A237">
        <v>1981</v>
      </c>
      <c r="B237">
        <v>7</v>
      </c>
      <c r="C237">
        <v>26.3</v>
      </c>
      <c r="D237">
        <v>34.299999999999997</v>
      </c>
      <c r="E237">
        <v>17</v>
      </c>
      <c r="F237">
        <v>167</v>
      </c>
    </row>
    <row r="238" spans="1:6" x14ac:dyDescent="0.2">
      <c r="A238">
        <v>1981</v>
      </c>
      <c r="B238">
        <v>8</v>
      </c>
      <c r="C238">
        <v>26.2</v>
      </c>
      <c r="D238">
        <v>33.9</v>
      </c>
      <c r="E238">
        <v>20</v>
      </c>
      <c r="F238">
        <v>133</v>
      </c>
    </row>
    <row r="239" spans="1:6" x14ac:dyDescent="0.2">
      <c r="A239">
        <v>1981</v>
      </c>
      <c r="B239">
        <v>9</v>
      </c>
      <c r="C239">
        <v>21.8</v>
      </c>
      <c r="D239">
        <v>31.6</v>
      </c>
      <c r="E239">
        <v>15.6</v>
      </c>
      <c r="F239">
        <v>138.5</v>
      </c>
    </row>
    <row r="240" spans="1:6" x14ac:dyDescent="0.2">
      <c r="A240">
        <v>1981</v>
      </c>
      <c r="B240">
        <v>10</v>
      </c>
      <c r="C240">
        <v>17.600000000000001</v>
      </c>
      <c r="D240">
        <v>26.7</v>
      </c>
      <c r="E240">
        <v>10.1</v>
      </c>
      <c r="F240">
        <v>343.5</v>
      </c>
    </row>
    <row r="241" spans="1:6" x14ac:dyDescent="0.2">
      <c r="A241">
        <v>1981</v>
      </c>
      <c r="B241">
        <v>11</v>
      </c>
      <c r="C241">
        <v>10.4</v>
      </c>
      <c r="D241">
        <v>21.4</v>
      </c>
      <c r="E241">
        <v>2.4</v>
      </c>
      <c r="F241">
        <v>99</v>
      </c>
    </row>
    <row r="242" spans="1:6" x14ac:dyDescent="0.2">
      <c r="A242">
        <v>1981</v>
      </c>
      <c r="B242">
        <v>12</v>
      </c>
      <c r="C242">
        <v>7.6</v>
      </c>
      <c r="D242">
        <v>16.2</v>
      </c>
      <c r="E242">
        <v>0.4</v>
      </c>
      <c r="F242">
        <v>7.5</v>
      </c>
    </row>
    <row r="243" spans="1:6" x14ac:dyDescent="0.2">
      <c r="A243">
        <v>1982</v>
      </c>
      <c r="B243">
        <v>1</v>
      </c>
      <c r="C243">
        <v>5.8</v>
      </c>
      <c r="D243">
        <v>16.8</v>
      </c>
      <c r="E243">
        <v>-1</v>
      </c>
      <c r="F243">
        <v>32.5</v>
      </c>
    </row>
    <row r="244" spans="1:6" x14ac:dyDescent="0.2">
      <c r="A244">
        <v>1982</v>
      </c>
      <c r="B244">
        <v>2</v>
      </c>
      <c r="C244">
        <v>5.5</v>
      </c>
      <c r="D244">
        <v>13.1</v>
      </c>
      <c r="E244">
        <v>-1</v>
      </c>
      <c r="F244">
        <v>51.5</v>
      </c>
    </row>
    <row r="245" spans="1:6" x14ac:dyDescent="0.2">
      <c r="A245">
        <v>1982</v>
      </c>
      <c r="B245">
        <v>3</v>
      </c>
      <c r="C245">
        <v>9.9</v>
      </c>
      <c r="D245">
        <v>21.3</v>
      </c>
      <c r="E245">
        <v>1.2</v>
      </c>
      <c r="F245">
        <v>73</v>
      </c>
    </row>
    <row r="246" spans="1:6" x14ac:dyDescent="0.2">
      <c r="A246">
        <v>1982</v>
      </c>
      <c r="B246">
        <v>4</v>
      </c>
      <c r="C246">
        <v>14</v>
      </c>
      <c r="D246">
        <v>23.2</v>
      </c>
      <c r="E246">
        <v>4.7</v>
      </c>
      <c r="F246">
        <v>134</v>
      </c>
    </row>
    <row r="247" spans="1:6" x14ac:dyDescent="0.2">
      <c r="A247">
        <v>1982</v>
      </c>
      <c r="B247">
        <v>5</v>
      </c>
      <c r="C247">
        <v>20.7</v>
      </c>
      <c r="D247">
        <v>28.7</v>
      </c>
      <c r="E247">
        <v>11.9</v>
      </c>
      <c r="F247">
        <v>85.5</v>
      </c>
    </row>
    <row r="248" spans="1:6" x14ac:dyDescent="0.2">
      <c r="A248">
        <v>1982</v>
      </c>
      <c r="B248">
        <v>6</v>
      </c>
      <c r="C248">
        <v>21.4</v>
      </c>
      <c r="D248">
        <v>29.4</v>
      </c>
      <c r="E248">
        <v>14.8</v>
      </c>
      <c r="F248">
        <v>224.5</v>
      </c>
    </row>
    <row r="249" spans="1:6" x14ac:dyDescent="0.2">
      <c r="A249">
        <v>1982</v>
      </c>
      <c r="B249">
        <v>7</v>
      </c>
      <c r="C249">
        <v>23.1</v>
      </c>
      <c r="D249">
        <v>31.2</v>
      </c>
      <c r="E249">
        <v>16.100000000000001</v>
      </c>
      <c r="F249">
        <v>140</v>
      </c>
    </row>
    <row r="250" spans="1:6" x14ac:dyDescent="0.2">
      <c r="A250">
        <v>1982</v>
      </c>
      <c r="B250">
        <v>8</v>
      </c>
      <c r="C250">
        <v>27.1</v>
      </c>
      <c r="D250">
        <v>33</v>
      </c>
      <c r="E250">
        <v>22</v>
      </c>
      <c r="F250">
        <v>152.5</v>
      </c>
    </row>
    <row r="251" spans="1:6" x14ac:dyDescent="0.2">
      <c r="A251">
        <v>1982</v>
      </c>
      <c r="B251">
        <v>9</v>
      </c>
      <c r="C251">
        <v>22.3</v>
      </c>
      <c r="D251">
        <v>31.3</v>
      </c>
      <c r="E251">
        <v>17</v>
      </c>
      <c r="F251">
        <v>371.5</v>
      </c>
    </row>
    <row r="252" spans="1:6" x14ac:dyDescent="0.2">
      <c r="A252">
        <v>1982</v>
      </c>
      <c r="B252">
        <v>10</v>
      </c>
      <c r="C252">
        <v>18</v>
      </c>
      <c r="D252">
        <v>27.3</v>
      </c>
      <c r="E252">
        <v>9.5</v>
      </c>
      <c r="F252">
        <v>159.5</v>
      </c>
    </row>
    <row r="253" spans="1:6" x14ac:dyDescent="0.2">
      <c r="A253">
        <v>1982</v>
      </c>
      <c r="B253">
        <v>11</v>
      </c>
      <c r="C253">
        <v>14.3</v>
      </c>
      <c r="D253">
        <v>25.3</v>
      </c>
      <c r="E253">
        <v>3.5</v>
      </c>
      <c r="F253">
        <v>136</v>
      </c>
    </row>
    <row r="254" spans="1:6" x14ac:dyDescent="0.2">
      <c r="A254">
        <v>1982</v>
      </c>
      <c r="B254">
        <v>12</v>
      </c>
      <c r="C254">
        <v>9.5</v>
      </c>
      <c r="D254">
        <v>20.9</v>
      </c>
      <c r="E254">
        <v>1.4</v>
      </c>
      <c r="F254">
        <v>15</v>
      </c>
    </row>
    <row r="255" spans="1:6" x14ac:dyDescent="0.2">
      <c r="A255">
        <v>1983</v>
      </c>
      <c r="B255">
        <v>1</v>
      </c>
      <c r="C255">
        <v>6.2</v>
      </c>
      <c r="D255">
        <v>16.5</v>
      </c>
      <c r="E255">
        <v>-2.4</v>
      </c>
      <c r="F255">
        <v>29.5</v>
      </c>
    </row>
    <row r="256" spans="1:6" x14ac:dyDescent="0.2">
      <c r="A256">
        <v>1983</v>
      </c>
      <c r="B256">
        <v>2</v>
      </c>
      <c r="C256">
        <v>6.1</v>
      </c>
      <c r="D256">
        <v>15</v>
      </c>
      <c r="E256">
        <v>-0.9</v>
      </c>
      <c r="F256">
        <v>50.5</v>
      </c>
    </row>
    <row r="257" spans="1:6" x14ac:dyDescent="0.2">
      <c r="A257">
        <v>1983</v>
      </c>
      <c r="B257">
        <v>3</v>
      </c>
      <c r="C257">
        <v>8.6</v>
      </c>
      <c r="D257">
        <v>17.2</v>
      </c>
      <c r="E257">
        <v>1.3</v>
      </c>
      <c r="F257">
        <v>99</v>
      </c>
    </row>
    <row r="258" spans="1:6" x14ac:dyDescent="0.2">
      <c r="A258">
        <v>1983</v>
      </c>
      <c r="B258">
        <v>4</v>
      </c>
      <c r="C258">
        <v>15.9</v>
      </c>
      <c r="D258">
        <v>26.8</v>
      </c>
      <c r="E258">
        <v>7.8</v>
      </c>
      <c r="F258">
        <v>114.5</v>
      </c>
    </row>
    <row r="259" spans="1:6" x14ac:dyDescent="0.2">
      <c r="A259">
        <v>1983</v>
      </c>
      <c r="B259">
        <v>5</v>
      </c>
      <c r="C259">
        <v>19.7</v>
      </c>
      <c r="D259">
        <v>28.5</v>
      </c>
      <c r="E259">
        <v>11</v>
      </c>
      <c r="F259">
        <v>105.5</v>
      </c>
    </row>
    <row r="260" spans="1:6" x14ac:dyDescent="0.2">
      <c r="A260">
        <v>1983</v>
      </c>
      <c r="B260">
        <v>6</v>
      </c>
      <c r="C260">
        <v>20.5</v>
      </c>
      <c r="D260">
        <v>29.8</v>
      </c>
      <c r="E260">
        <v>13.6</v>
      </c>
      <c r="F260">
        <v>198</v>
      </c>
    </row>
    <row r="261" spans="1:6" x14ac:dyDescent="0.2">
      <c r="A261">
        <v>1983</v>
      </c>
      <c r="B261">
        <v>7</v>
      </c>
      <c r="C261">
        <v>23.8</v>
      </c>
      <c r="D261">
        <v>32.9</v>
      </c>
      <c r="E261">
        <v>15.1</v>
      </c>
      <c r="F261">
        <v>141.5</v>
      </c>
    </row>
    <row r="262" spans="1:6" x14ac:dyDescent="0.2">
      <c r="A262">
        <v>1983</v>
      </c>
      <c r="B262">
        <v>8</v>
      </c>
      <c r="C262">
        <v>27.5</v>
      </c>
      <c r="D262">
        <v>37.1</v>
      </c>
      <c r="E262">
        <v>21.2</v>
      </c>
      <c r="F262">
        <v>168.5</v>
      </c>
    </row>
    <row r="263" spans="1:6" x14ac:dyDescent="0.2">
      <c r="A263">
        <v>1983</v>
      </c>
      <c r="B263">
        <v>9</v>
      </c>
      <c r="C263">
        <v>23.1</v>
      </c>
      <c r="D263">
        <v>33.299999999999997</v>
      </c>
      <c r="E263">
        <v>14.9</v>
      </c>
      <c r="F263">
        <v>242.5</v>
      </c>
    </row>
    <row r="264" spans="1:6" x14ac:dyDescent="0.2">
      <c r="A264">
        <v>1983</v>
      </c>
      <c r="B264">
        <v>10</v>
      </c>
      <c r="C264">
        <v>17.7</v>
      </c>
      <c r="D264">
        <v>27.9</v>
      </c>
      <c r="E264">
        <v>7.3</v>
      </c>
      <c r="F264">
        <v>130</v>
      </c>
    </row>
    <row r="265" spans="1:6" x14ac:dyDescent="0.2">
      <c r="A265">
        <v>1983</v>
      </c>
      <c r="B265">
        <v>11</v>
      </c>
      <c r="C265">
        <v>12.3</v>
      </c>
      <c r="D265">
        <v>21.6</v>
      </c>
      <c r="E265">
        <v>2.2000000000000002</v>
      </c>
      <c r="F265">
        <v>53.5</v>
      </c>
    </row>
    <row r="266" spans="1:6" x14ac:dyDescent="0.2">
      <c r="A266">
        <v>1983</v>
      </c>
      <c r="B266">
        <v>12</v>
      </c>
      <c r="C266">
        <v>7.1</v>
      </c>
      <c r="D266">
        <v>17.3</v>
      </c>
      <c r="E266">
        <v>-0.6</v>
      </c>
      <c r="F266">
        <v>7.5</v>
      </c>
    </row>
    <row r="267" spans="1:6" x14ac:dyDescent="0.2">
      <c r="A267">
        <v>1984</v>
      </c>
      <c r="B267">
        <v>1</v>
      </c>
      <c r="C267">
        <v>3.7</v>
      </c>
      <c r="D267">
        <v>14.6</v>
      </c>
      <c r="E267">
        <v>-2.5</v>
      </c>
      <c r="F267">
        <v>50</v>
      </c>
    </row>
    <row r="268" spans="1:6" x14ac:dyDescent="0.2">
      <c r="A268">
        <v>1984</v>
      </c>
      <c r="B268">
        <v>2</v>
      </c>
      <c r="C268">
        <v>3</v>
      </c>
      <c r="D268">
        <v>12.8</v>
      </c>
      <c r="E268">
        <v>-3.5</v>
      </c>
      <c r="F268">
        <v>51</v>
      </c>
    </row>
    <row r="269" spans="1:6" x14ac:dyDescent="0.2">
      <c r="A269">
        <v>1984</v>
      </c>
      <c r="B269">
        <v>3</v>
      </c>
      <c r="C269">
        <v>5.9</v>
      </c>
      <c r="D269">
        <v>19.100000000000001</v>
      </c>
      <c r="E269">
        <v>-1.5</v>
      </c>
      <c r="F269">
        <v>69</v>
      </c>
    </row>
    <row r="270" spans="1:6" x14ac:dyDescent="0.2">
      <c r="A270">
        <v>1984</v>
      </c>
      <c r="B270">
        <v>4</v>
      </c>
      <c r="C270">
        <v>11.6</v>
      </c>
      <c r="D270">
        <v>24</v>
      </c>
      <c r="E270">
        <v>1.8</v>
      </c>
      <c r="F270">
        <v>64</v>
      </c>
    </row>
    <row r="271" spans="1:6" x14ac:dyDescent="0.2">
      <c r="A271">
        <v>1984</v>
      </c>
      <c r="B271">
        <v>5</v>
      </c>
      <c r="C271">
        <v>17.2</v>
      </c>
      <c r="D271">
        <v>27.7</v>
      </c>
      <c r="E271">
        <v>9.3000000000000007</v>
      </c>
      <c r="F271">
        <v>77.5</v>
      </c>
    </row>
    <row r="272" spans="1:6" x14ac:dyDescent="0.2">
      <c r="A272">
        <v>1984</v>
      </c>
      <c r="B272">
        <v>6</v>
      </c>
      <c r="C272">
        <v>21.8</v>
      </c>
      <c r="D272">
        <v>31.5</v>
      </c>
      <c r="E272">
        <v>16.5</v>
      </c>
      <c r="F272">
        <v>202</v>
      </c>
    </row>
    <row r="273" spans="1:6" x14ac:dyDescent="0.2">
      <c r="A273">
        <v>1984</v>
      </c>
      <c r="B273">
        <v>7</v>
      </c>
      <c r="C273">
        <v>26.2</v>
      </c>
      <c r="D273">
        <v>33.6</v>
      </c>
      <c r="E273">
        <v>17.5</v>
      </c>
      <c r="F273">
        <v>81.5</v>
      </c>
    </row>
    <row r="274" spans="1:6" x14ac:dyDescent="0.2">
      <c r="A274">
        <v>1984</v>
      </c>
      <c r="B274">
        <v>8</v>
      </c>
      <c r="C274">
        <v>28.6</v>
      </c>
      <c r="D274">
        <v>35</v>
      </c>
      <c r="E274">
        <v>21.8</v>
      </c>
      <c r="F274">
        <v>31.5</v>
      </c>
    </row>
    <row r="275" spans="1:6" x14ac:dyDescent="0.2">
      <c r="A275">
        <v>1984</v>
      </c>
      <c r="B275">
        <v>9</v>
      </c>
      <c r="C275">
        <v>23.5</v>
      </c>
      <c r="D275">
        <v>38.1</v>
      </c>
      <c r="E275">
        <v>15.7</v>
      </c>
      <c r="F275">
        <v>61</v>
      </c>
    </row>
    <row r="276" spans="1:6" x14ac:dyDescent="0.2">
      <c r="A276">
        <v>1984</v>
      </c>
      <c r="B276">
        <v>10</v>
      </c>
      <c r="C276">
        <v>17.7</v>
      </c>
      <c r="D276">
        <v>30.4</v>
      </c>
      <c r="E276">
        <v>7.7</v>
      </c>
      <c r="F276">
        <v>73.5</v>
      </c>
    </row>
    <row r="277" spans="1:6" x14ac:dyDescent="0.2">
      <c r="A277">
        <v>1984</v>
      </c>
      <c r="B277">
        <v>11</v>
      </c>
      <c r="C277">
        <v>12.2</v>
      </c>
      <c r="D277">
        <v>22.7</v>
      </c>
      <c r="E277">
        <v>3.7</v>
      </c>
      <c r="F277">
        <v>50.5</v>
      </c>
    </row>
    <row r="278" spans="1:6" x14ac:dyDescent="0.2">
      <c r="A278">
        <v>1984</v>
      </c>
      <c r="B278">
        <v>12</v>
      </c>
      <c r="C278">
        <v>7.7</v>
      </c>
      <c r="D278">
        <v>19.8</v>
      </c>
      <c r="E278">
        <v>-1.1000000000000001</v>
      </c>
      <c r="F278">
        <v>68</v>
      </c>
    </row>
    <row r="279" spans="1:6" x14ac:dyDescent="0.2">
      <c r="A279">
        <v>1985</v>
      </c>
      <c r="B279">
        <v>1</v>
      </c>
      <c r="C279">
        <v>4.0999999999999996</v>
      </c>
      <c r="D279">
        <v>13.5</v>
      </c>
      <c r="E279">
        <v>-2.5</v>
      </c>
      <c r="F279">
        <v>4.5</v>
      </c>
    </row>
    <row r="280" spans="1:6" x14ac:dyDescent="0.2">
      <c r="A280">
        <v>1985</v>
      </c>
      <c r="B280">
        <v>2</v>
      </c>
      <c r="C280">
        <v>6.5</v>
      </c>
      <c r="D280">
        <v>14.7</v>
      </c>
      <c r="E280">
        <v>-1.3</v>
      </c>
      <c r="F280">
        <v>142</v>
      </c>
    </row>
    <row r="281" spans="1:6" x14ac:dyDescent="0.2">
      <c r="A281">
        <v>1985</v>
      </c>
      <c r="B281">
        <v>3</v>
      </c>
      <c r="C281">
        <v>7.8</v>
      </c>
      <c r="D281">
        <v>20.3</v>
      </c>
      <c r="E281">
        <v>1.3</v>
      </c>
      <c r="F281">
        <v>134.5</v>
      </c>
    </row>
    <row r="282" spans="1:6" x14ac:dyDescent="0.2">
      <c r="A282">
        <v>1985</v>
      </c>
      <c r="B282">
        <v>4</v>
      </c>
      <c r="C282">
        <v>14.2</v>
      </c>
      <c r="D282">
        <v>23.7</v>
      </c>
      <c r="E282">
        <v>3.3</v>
      </c>
      <c r="F282">
        <v>201.5</v>
      </c>
    </row>
    <row r="283" spans="1:6" x14ac:dyDescent="0.2">
      <c r="A283">
        <v>1985</v>
      </c>
      <c r="B283">
        <v>5</v>
      </c>
      <c r="C283">
        <v>19.100000000000001</v>
      </c>
      <c r="D283">
        <v>26.5</v>
      </c>
      <c r="E283">
        <v>12.2</v>
      </c>
      <c r="F283">
        <v>89.5</v>
      </c>
    </row>
    <row r="284" spans="1:6" x14ac:dyDescent="0.2">
      <c r="A284">
        <v>1985</v>
      </c>
      <c r="B284">
        <v>6</v>
      </c>
      <c r="C284">
        <v>20.2</v>
      </c>
      <c r="D284">
        <v>30.1</v>
      </c>
      <c r="E284">
        <v>13.2</v>
      </c>
      <c r="F284">
        <v>381</v>
      </c>
    </row>
    <row r="285" spans="1:6" x14ac:dyDescent="0.2">
      <c r="A285">
        <v>1985</v>
      </c>
      <c r="B285">
        <v>7</v>
      </c>
      <c r="C285">
        <v>26.3</v>
      </c>
      <c r="D285">
        <v>34.299999999999997</v>
      </c>
      <c r="E285">
        <v>19.7</v>
      </c>
      <c r="F285">
        <v>115</v>
      </c>
    </row>
    <row r="286" spans="1:6" x14ac:dyDescent="0.2">
      <c r="A286">
        <v>1985</v>
      </c>
      <c r="B286">
        <v>8</v>
      </c>
      <c r="C286">
        <v>27.9</v>
      </c>
      <c r="D286">
        <v>33.9</v>
      </c>
      <c r="E286">
        <v>22.6</v>
      </c>
      <c r="F286">
        <v>146</v>
      </c>
    </row>
    <row r="287" spans="1:6" x14ac:dyDescent="0.2">
      <c r="A287">
        <v>1985</v>
      </c>
      <c r="B287">
        <v>9</v>
      </c>
      <c r="C287">
        <v>23.1</v>
      </c>
      <c r="D287">
        <v>35</v>
      </c>
      <c r="E287">
        <v>14.5</v>
      </c>
      <c r="F287">
        <v>106</v>
      </c>
    </row>
    <row r="288" spans="1:6" x14ac:dyDescent="0.2">
      <c r="A288">
        <v>1985</v>
      </c>
      <c r="B288">
        <v>10</v>
      </c>
      <c r="C288">
        <v>17.899999999999999</v>
      </c>
      <c r="D288">
        <v>29</v>
      </c>
      <c r="E288">
        <v>10</v>
      </c>
      <c r="F288">
        <v>92.5</v>
      </c>
    </row>
    <row r="289" spans="1:6" x14ac:dyDescent="0.2">
      <c r="A289">
        <v>1985</v>
      </c>
      <c r="B289">
        <v>11</v>
      </c>
      <c r="C289">
        <v>13.3</v>
      </c>
      <c r="D289">
        <v>24.5</v>
      </c>
      <c r="E289">
        <v>3.6</v>
      </c>
      <c r="F289">
        <v>85.5</v>
      </c>
    </row>
    <row r="290" spans="1:6" x14ac:dyDescent="0.2">
      <c r="A290">
        <v>1985</v>
      </c>
      <c r="B290">
        <v>12</v>
      </c>
      <c r="C290">
        <v>7.4</v>
      </c>
      <c r="D290">
        <v>18.8</v>
      </c>
      <c r="E290">
        <v>-0.5</v>
      </c>
      <c r="F290">
        <v>18.5</v>
      </c>
    </row>
    <row r="291" spans="1:6" x14ac:dyDescent="0.2">
      <c r="A291">
        <v>1986</v>
      </c>
      <c r="B291">
        <v>1</v>
      </c>
      <c r="C291">
        <v>4.5</v>
      </c>
      <c r="D291">
        <v>11.8</v>
      </c>
      <c r="E291">
        <v>-1.3</v>
      </c>
      <c r="F291">
        <v>15</v>
      </c>
    </row>
    <row r="292" spans="1:6" x14ac:dyDescent="0.2">
      <c r="A292">
        <v>1986</v>
      </c>
      <c r="B292">
        <v>2</v>
      </c>
      <c r="C292">
        <v>4.3</v>
      </c>
      <c r="D292">
        <v>14.5</v>
      </c>
      <c r="E292">
        <v>-1.6</v>
      </c>
      <c r="F292">
        <v>27.5</v>
      </c>
    </row>
    <row r="293" spans="1:6" x14ac:dyDescent="0.2">
      <c r="A293">
        <v>1986</v>
      </c>
      <c r="B293">
        <v>3</v>
      </c>
      <c r="C293">
        <v>7.8</v>
      </c>
      <c r="D293">
        <v>18.100000000000001</v>
      </c>
      <c r="E293">
        <v>0</v>
      </c>
      <c r="F293">
        <v>188</v>
      </c>
    </row>
    <row r="294" spans="1:6" x14ac:dyDescent="0.2">
      <c r="A294">
        <v>1986</v>
      </c>
      <c r="B294">
        <v>4</v>
      </c>
      <c r="C294">
        <v>13.9</v>
      </c>
      <c r="D294">
        <v>23</v>
      </c>
      <c r="E294">
        <v>4.5999999999999996</v>
      </c>
      <c r="F294">
        <v>88</v>
      </c>
    </row>
    <row r="295" spans="1:6" x14ac:dyDescent="0.2">
      <c r="A295">
        <v>1986</v>
      </c>
      <c r="B295">
        <v>5</v>
      </c>
      <c r="C295">
        <v>17.899999999999999</v>
      </c>
      <c r="D295">
        <v>26.9</v>
      </c>
      <c r="E295">
        <v>11.2</v>
      </c>
      <c r="F295">
        <v>210</v>
      </c>
    </row>
    <row r="296" spans="1:6" x14ac:dyDescent="0.2">
      <c r="A296">
        <v>1986</v>
      </c>
      <c r="B296">
        <v>6</v>
      </c>
      <c r="C296">
        <v>21.1</v>
      </c>
      <c r="D296">
        <v>31.5</v>
      </c>
      <c r="E296">
        <v>13.8</v>
      </c>
      <c r="F296">
        <v>138</v>
      </c>
    </row>
    <row r="297" spans="1:6" x14ac:dyDescent="0.2">
      <c r="A297">
        <v>1986</v>
      </c>
      <c r="B297">
        <v>7</v>
      </c>
      <c r="C297">
        <v>23.9</v>
      </c>
      <c r="D297">
        <v>33.4</v>
      </c>
      <c r="E297">
        <v>16.7</v>
      </c>
      <c r="F297">
        <v>137</v>
      </c>
    </row>
    <row r="298" spans="1:6" x14ac:dyDescent="0.2">
      <c r="A298">
        <v>1986</v>
      </c>
      <c r="B298">
        <v>8</v>
      </c>
      <c r="C298">
        <v>26.8</v>
      </c>
      <c r="D298">
        <v>34.6</v>
      </c>
      <c r="E298">
        <v>19.600000000000001</v>
      </c>
      <c r="F298">
        <v>233.5</v>
      </c>
    </row>
    <row r="299" spans="1:6" x14ac:dyDescent="0.2">
      <c r="A299">
        <v>1986</v>
      </c>
      <c r="B299">
        <v>9</v>
      </c>
      <c r="C299">
        <v>23.7</v>
      </c>
      <c r="D299">
        <v>34.5</v>
      </c>
      <c r="E299">
        <v>15.8</v>
      </c>
      <c r="F299">
        <v>190.5</v>
      </c>
    </row>
    <row r="300" spans="1:6" x14ac:dyDescent="0.2">
      <c r="A300">
        <v>1986</v>
      </c>
      <c r="B300">
        <v>10</v>
      </c>
      <c r="C300">
        <v>17.100000000000001</v>
      </c>
      <c r="D300">
        <v>26.6</v>
      </c>
      <c r="E300">
        <v>8</v>
      </c>
      <c r="F300">
        <v>74</v>
      </c>
    </row>
    <row r="301" spans="1:6" x14ac:dyDescent="0.2">
      <c r="A301">
        <v>1986</v>
      </c>
      <c r="B301">
        <v>11</v>
      </c>
      <c r="C301">
        <v>12.3</v>
      </c>
      <c r="D301">
        <v>21.7</v>
      </c>
      <c r="E301">
        <v>5</v>
      </c>
      <c r="F301">
        <v>41</v>
      </c>
    </row>
    <row r="302" spans="1:6" x14ac:dyDescent="0.2">
      <c r="A302">
        <v>1986</v>
      </c>
      <c r="B302">
        <v>12</v>
      </c>
      <c r="C302">
        <v>8.5</v>
      </c>
      <c r="D302">
        <v>17.8</v>
      </c>
      <c r="E302">
        <v>0.5</v>
      </c>
      <c r="F302">
        <v>115.5</v>
      </c>
    </row>
    <row r="303" spans="1:6" x14ac:dyDescent="0.2">
      <c r="A303">
        <v>1987</v>
      </c>
      <c r="B303">
        <v>1</v>
      </c>
      <c r="C303">
        <v>5.8</v>
      </c>
      <c r="D303">
        <v>18</v>
      </c>
      <c r="E303">
        <v>-0.4</v>
      </c>
      <c r="F303">
        <v>38</v>
      </c>
    </row>
    <row r="304" spans="1:6" x14ac:dyDescent="0.2">
      <c r="A304">
        <v>1987</v>
      </c>
      <c r="B304">
        <v>2</v>
      </c>
      <c r="C304">
        <v>6.8</v>
      </c>
      <c r="D304">
        <v>23</v>
      </c>
      <c r="E304">
        <v>-0.7</v>
      </c>
      <c r="F304">
        <v>29.5</v>
      </c>
    </row>
    <row r="305" spans="1:6" x14ac:dyDescent="0.2">
      <c r="A305">
        <v>1987</v>
      </c>
      <c r="B305">
        <v>3</v>
      </c>
      <c r="C305">
        <v>9.3000000000000007</v>
      </c>
      <c r="D305">
        <v>20.5</v>
      </c>
      <c r="E305">
        <v>0</v>
      </c>
      <c r="F305">
        <v>94</v>
      </c>
    </row>
    <row r="306" spans="1:6" x14ac:dyDescent="0.2">
      <c r="A306">
        <v>1987</v>
      </c>
      <c r="B306">
        <v>4</v>
      </c>
      <c r="C306">
        <v>14.4</v>
      </c>
      <c r="D306">
        <v>26.6</v>
      </c>
      <c r="E306">
        <v>2.2000000000000002</v>
      </c>
      <c r="F306">
        <v>42.5</v>
      </c>
    </row>
    <row r="307" spans="1:6" x14ac:dyDescent="0.2">
      <c r="A307">
        <v>1987</v>
      </c>
      <c r="B307">
        <v>5</v>
      </c>
      <c r="C307">
        <v>19.3</v>
      </c>
      <c r="D307">
        <v>27.9</v>
      </c>
      <c r="E307">
        <v>9.1999999999999993</v>
      </c>
      <c r="F307">
        <v>65</v>
      </c>
    </row>
    <row r="308" spans="1:6" x14ac:dyDescent="0.2">
      <c r="A308">
        <v>1987</v>
      </c>
      <c r="B308">
        <v>6</v>
      </c>
      <c r="C308">
        <v>22.1</v>
      </c>
      <c r="D308">
        <v>32.299999999999997</v>
      </c>
      <c r="E308">
        <v>15.3</v>
      </c>
      <c r="F308">
        <v>120.5</v>
      </c>
    </row>
    <row r="309" spans="1:6" x14ac:dyDescent="0.2">
      <c r="A309">
        <v>1987</v>
      </c>
      <c r="B309">
        <v>7</v>
      </c>
      <c r="C309">
        <v>27</v>
      </c>
      <c r="D309">
        <v>37.299999999999997</v>
      </c>
      <c r="E309">
        <v>19.100000000000001</v>
      </c>
      <c r="F309">
        <v>146.5</v>
      </c>
    </row>
    <row r="310" spans="1:6" x14ac:dyDescent="0.2">
      <c r="A310">
        <v>1987</v>
      </c>
      <c r="B310">
        <v>8</v>
      </c>
      <c r="C310">
        <v>27.3</v>
      </c>
      <c r="D310">
        <v>34</v>
      </c>
      <c r="E310">
        <v>20.5</v>
      </c>
      <c r="F310">
        <v>45.5</v>
      </c>
    </row>
    <row r="311" spans="1:6" x14ac:dyDescent="0.2">
      <c r="A311">
        <v>1987</v>
      </c>
      <c r="B311">
        <v>9</v>
      </c>
      <c r="C311">
        <v>23.3</v>
      </c>
      <c r="D311">
        <v>34.799999999999997</v>
      </c>
      <c r="E311">
        <v>15.5</v>
      </c>
      <c r="F311">
        <v>214.5</v>
      </c>
    </row>
    <row r="312" spans="1:6" x14ac:dyDescent="0.2">
      <c r="A312">
        <v>1987</v>
      </c>
      <c r="B312">
        <v>10</v>
      </c>
      <c r="C312">
        <v>18.899999999999999</v>
      </c>
      <c r="D312">
        <v>28.2</v>
      </c>
      <c r="E312">
        <v>12.3</v>
      </c>
      <c r="F312">
        <v>193</v>
      </c>
    </row>
    <row r="313" spans="1:6" x14ac:dyDescent="0.2">
      <c r="A313">
        <v>1987</v>
      </c>
      <c r="B313">
        <v>11</v>
      </c>
      <c r="C313">
        <v>12.8</v>
      </c>
      <c r="D313">
        <v>25.6</v>
      </c>
      <c r="E313">
        <v>3.9</v>
      </c>
      <c r="F313">
        <v>39.5</v>
      </c>
    </row>
    <row r="314" spans="1:6" x14ac:dyDescent="0.2">
      <c r="A314">
        <v>1987</v>
      </c>
      <c r="B314">
        <v>12</v>
      </c>
      <c r="C314">
        <v>8.1</v>
      </c>
      <c r="D314">
        <v>21.5</v>
      </c>
      <c r="E314">
        <v>0.3</v>
      </c>
      <c r="F314">
        <v>60.5</v>
      </c>
    </row>
    <row r="315" spans="1:6" x14ac:dyDescent="0.2">
      <c r="A315">
        <v>1988</v>
      </c>
      <c r="B315">
        <v>1</v>
      </c>
      <c r="C315">
        <v>7.7</v>
      </c>
      <c r="D315">
        <v>16.899999999999999</v>
      </c>
      <c r="E315">
        <v>0.6</v>
      </c>
      <c r="F315">
        <v>28</v>
      </c>
    </row>
    <row r="316" spans="1:6" x14ac:dyDescent="0.2">
      <c r="A316">
        <v>1988</v>
      </c>
      <c r="B316">
        <v>2</v>
      </c>
      <c r="C316">
        <v>4.9000000000000004</v>
      </c>
      <c r="D316">
        <v>19.7</v>
      </c>
      <c r="E316">
        <v>-1.7</v>
      </c>
      <c r="F316">
        <v>17.5</v>
      </c>
    </row>
    <row r="317" spans="1:6" x14ac:dyDescent="0.2">
      <c r="A317">
        <v>1988</v>
      </c>
      <c r="B317">
        <v>3</v>
      </c>
      <c r="C317">
        <v>8.4</v>
      </c>
      <c r="D317">
        <v>21.3</v>
      </c>
      <c r="E317">
        <v>1.3</v>
      </c>
      <c r="F317">
        <v>185</v>
      </c>
    </row>
    <row r="318" spans="1:6" x14ac:dyDescent="0.2">
      <c r="A318">
        <v>1988</v>
      </c>
      <c r="B318">
        <v>4</v>
      </c>
      <c r="C318">
        <v>14.3</v>
      </c>
      <c r="D318">
        <v>27.7</v>
      </c>
      <c r="E318">
        <v>0.7</v>
      </c>
      <c r="F318">
        <v>107.5</v>
      </c>
    </row>
    <row r="319" spans="1:6" x14ac:dyDescent="0.2">
      <c r="A319">
        <v>1988</v>
      </c>
      <c r="B319">
        <v>5</v>
      </c>
      <c r="C319">
        <v>18.2</v>
      </c>
      <c r="D319">
        <v>29.2</v>
      </c>
      <c r="E319">
        <v>9.8000000000000007</v>
      </c>
      <c r="F319">
        <v>144</v>
      </c>
    </row>
    <row r="320" spans="1:6" x14ac:dyDescent="0.2">
      <c r="A320">
        <v>1988</v>
      </c>
      <c r="B320">
        <v>6</v>
      </c>
      <c r="C320">
        <v>22.3</v>
      </c>
      <c r="D320">
        <v>29.9</v>
      </c>
      <c r="E320">
        <v>17.2</v>
      </c>
      <c r="F320">
        <v>198</v>
      </c>
    </row>
    <row r="321" spans="1:6" x14ac:dyDescent="0.2">
      <c r="A321">
        <v>1988</v>
      </c>
      <c r="B321">
        <v>7</v>
      </c>
      <c r="C321">
        <v>22.4</v>
      </c>
      <c r="D321">
        <v>32.6</v>
      </c>
      <c r="E321">
        <v>17.2</v>
      </c>
      <c r="F321">
        <v>158</v>
      </c>
    </row>
    <row r="322" spans="1:6" x14ac:dyDescent="0.2">
      <c r="A322">
        <v>1988</v>
      </c>
      <c r="B322">
        <v>8</v>
      </c>
      <c r="C322">
        <v>27</v>
      </c>
      <c r="D322">
        <v>32.9</v>
      </c>
      <c r="E322">
        <v>21.6</v>
      </c>
      <c r="F322">
        <v>341.5</v>
      </c>
    </row>
    <row r="323" spans="1:6" x14ac:dyDescent="0.2">
      <c r="A323">
        <v>1988</v>
      </c>
      <c r="B323">
        <v>9</v>
      </c>
      <c r="C323">
        <v>22.8</v>
      </c>
      <c r="D323">
        <v>31.2</v>
      </c>
      <c r="E323">
        <v>17.5</v>
      </c>
      <c r="F323">
        <v>251.5</v>
      </c>
    </row>
    <row r="324" spans="1:6" x14ac:dyDescent="0.2">
      <c r="A324">
        <v>1988</v>
      </c>
      <c r="B324">
        <v>10</v>
      </c>
      <c r="C324">
        <v>17.5</v>
      </c>
      <c r="D324">
        <v>24.9</v>
      </c>
      <c r="E324">
        <v>8.8000000000000007</v>
      </c>
      <c r="F324">
        <v>58.5</v>
      </c>
    </row>
    <row r="325" spans="1:6" x14ac:dyDescent="0.2">
      <c r="A325">
        <v>1988</v>
      </c>
      <c r="B325">
        <v>11</v>
      </c>
      <c r="C325">
        <v>11.4</v>
      </c>
      <c r="D325">
        <v>22.5</v>
      </c>
      <c r="E325">
        <v>2.4</v>
      </c>
      <c r="F325">
        <v>26</v>
      </c>
    </row>
    <row r="326" spans="1:6" x14ac:dyDescent="0.2">
      <c r="A326">
        <v>1988</v>
      </c>
      <c r="B326">
        <v>12</v>
      </c>
      <c r="C326">
        <v>8.4</v>
      </c>
      <c r="D326">
        <v>17.899999999999999</v>
      </c>
      <c r="E326">
        <v>0.8</v>
      </c>
      <c r="F326">
        <v>0</v>
      </c>
    </row>
    <row r="327" spans="1:6" x14ac:dyDescent="0.2">
      <c r="A327">
        <v>1989</v>
      </c>
      <c r="B327">
        <v>1</v>
      </c>
      <c r="C327">
        <v>8.1</v>
      </c>
      <c r="D327">
        <v>19.2</v>
      </c>
      <c r="E327">
        <v>0.9</v>
      </c>
      <c r="F327">
        <v>95</v>
      </c>
    </row>
    <row r="328" spans="1:6" x14ac:dyDescent="0.2">
      <c r="A328">
        <v>1989</v>
      </c>
      <c r="B328">
        <v>2</v>
      </c>
      <c r="C328">
        <v>7.5</v>
      </c>
      <c r="D328">
        <v>17.2</v>
      </c>
      <c r="E328">
        <v>1.9</v>
      </c>
      <c r="F328">
        <v>107</v>
      </c>
    </row>
    <row r="329" spans="1:6" x14ac:dyDescent="0.2">
      <c r="A329">
        <v>1989</v>
      </c>
      <c r="B329">
        <v>3</v>
      </c>
      <c r="C329">
        <v>9.6</v>
      </c>
      <c r="D329">
        <v>20.2</v>
      </c>
      <c r="E329">
        <v>1.7</v>
      </c>
      <c r="F329">
        <v>118</v>
      </c>
    </row>
    <row r="330" spans="1:6" x14ac:dyDescent="0.2">
      <c r="A330">
        <v>1989</v>
      </c>
      <c r="B330">
        <v>4</v>
      </c>
      <c r="C330">
        <v>15.6</v>
      </c>
      <c r="D330">
        <v>24</v>
      </c>
      <c r="E330">
        <v>7.5</v>
      </c>
      <c r="F330">
        <v>187</v>
      </c>
    </row>
    <row r="331" spans="1:6" x14ac:dyDescent="0.2">
      <c r="A331">
        <v>1989</v>
      </c>
      <c r="B331">
        <v>5</v>
      </c>
      <c r="C331">
        <v>17.7</v>
      </c>
      <c r="D331">
        <v>25.4</v>
      </c>
      <c r="E331">
        <v>10.1</v>
      </c>
      <c r="F331">
        <v>210</v>
      </c>
    </row>
    <row r="332" spans="1:6" x14ac:dyDescent="0.2">
      <c r="A332">
        <v>1989</v>
      </c>
      <c r="B332">
        <v>6</v>
      </c>
      <c r="C332">
        <v>20.7</v>
      </c>
      <c r="D332">
        <v>31.1</v>
      </c>
      <c r="E332">
        <v>11.7</v>
      </c>
      <c r="F332">
        <v>205</v>
      </c>
    </row>
    <row r="333" spans="1:6" x14ac:dyDescent="0.2">
      <c r="A333">
        <v>1989</v>
      </c>
      <c r="B333">
        <v>7</v>
      </c>
      <c r="C333">
        <v>24.1</v>
      </c>
      <c r="D333">
        <v>31.5</v>
      </c>
      <c r="E333">
        <v>15.1</v>
      </c>
      <c r="F333">
        <v>154</v>
      </c>
    </row>
    <row r="334" spans="1:6" x14ac:dyDescent="0.2">
      <c r="A334">
        <v>1989</v>
      </c>
      <c r="B334">
        <v>8</v>
      </c>
      <c r="C334">
        <v>27.1</v>
      </c>
      <c r="D334">
        <v>33.5</v>
      </c>
      <c r="E334">
        <v>21.8</v>
      </c>
      <c r="F334">
        <v>360.5</v>
      </c>
    </row>
    <row r="335" spans="1:6" x14ac:dyDescent="0.2">
      <c r="A335">
        <v>1989</v>
      </c>
      <c r="B335">
        <v>9</v>
      </c>
      <c r="C335">
        <v>25.2</v>
      </c>
      <c r="D335">
        <v>32.299999999999997</v>
      </c>
      <c r="E335">
        <v>18.100000000000001</v>
      </c>
      <c r="F335">
        <v>204</v>
      </c>
    </row>
    <row r="336" spans="1:6" x14ac:dyDescent="0.2">
      <c r="A336">
        <v>1989</v>
      </c>
      <c r="B336">
        <v>10</v>
      </c>
      <c r="C336">
        <v>17.5</v>
      </c>
      <c r="D336">
        <v>25.9</v>
      </c>
      <c r="E336">
        <v>11.2</v>
      </c>
      <c r="F336">
        <v>197</v>
      </c>
    </row>
    <row r="337" spans="1:6" x14ac:dyDescent="0.2">
      <c r="A337">
        <v>1989</v>
      </c>
      <c r="B337">
        <v>11</v>
      </c>
      <c r="C337">
        <v>14.2</v>
      </c>
      <c r="D337">
        <v>22.5</v>
      </c>
      <c r="E337">
        <v>5.8</v>
      </c>
      <c r="F337">
        <v>71</v>
      </c>
    </row>
    <row r="338" spans="1:6" x14ac:dyDescent="0.2">
      <c r="A338">
        <v>1989</v>
      </c>
      <c r="B338">
        <v>12</v>
      </c>
      <c r="C338">
        <v>9.1999999999999993</v>
      </c>
      <c r="D338">
        <v>20.100000000000001</v>
      </c>
      <c r="E338">
        <v>2.4</v>
      </c>
      <c r="F338">
        <v>29</v>
      </c>
    </row>
    <row r="339" spans="1:6" x14ac:dyDescent="0.2">
      <c r="A339">
        <v>1990</v>
      </c>
      <c r="B339">
        <v>1</v>
      </c>
      <c r="C339">
        <v>5</v>
      </c>
      <c r="D339">
        <v>16.3</v>
      </c>
      <c r="E339">
        <v>-1.4</v>
      </c>
      <c r="F339">
        <v>32.5</v>
      </c>
    </row>
    <row r="340" spans="1:6" x14ac:dyDescent="0.2">
      <c r="A340">
        <v>1990</v>
      </c>
      <c r="B340">
        <v>2</v>
      </c>
      <c r="C340">
        <v>7.8</v>
      </c>
      <c r="D340">
        <v>19.399999999999999</v>
      </c>
      <c r="E340">
        <v>0.1</v>
      </c>
      <c r="F340">
        <v>116.5</v>
      </c>
    </row>
    <row r="341" spans="1:6" x14ac:dyDescent="0.2">
      <c r="A341">
        <v>1990</v>
      </c>
      <c r="B341">
        <v>3</v>
      </c>
      <c r="C341">
        <v>10.6</v>
      </c>
      <c r="D341">
        <v>21.3</v>
      </c>
      <c r="E341">
        <v>4.3</v>
      </c>
      <c r="F341">
        <v>97.5</v>
      </c>
    </row>
    <row r="342" spans="1:6" x14ac:dyDescent="0.2">
      <c r="A342">
        <v>1990</v>
      </c>
      <c r="B342">
        <v>4</v>
      </c>
      <c r="C342">
        <v>14.7</v>
      </c>
      <c r="D342">
        <v>24.2</v>
      </c>
      <c r="E342">
        <v>6.1</v>
      </c>
      <c r="F342">
        <v>137.5</v>
      </c>
    </row>
    <row r="343" spans="1:6" x14ac:dyDescent="0.2">
      <c r="A343">
        <v>1990</v>
      </c>
      <c r="B343">
        <v>5</v>
      </c>
      <c r="C343">
        <v>19.2</v>
      </c>
      <c r="D343">
        <v>28.4</v>
      </c>
      <c r="E343">
        <v>11</v>
      </c>
      <c r="F343">
        <v>120.5</v>
      </c>
    </row>
    <row r="344" spans="1:6" x14ac:dyDescent="0.2">
      <c r="A344">
        <v>1990</v>
      </c>
      <c r="B344">
        <v>6</v>
      </c>
      <c r="C344">
        <v>23.5</v>
      </c>
      <c r="D344">
        <v>34.1</v>
      </c>
      <c r="E344">
        <v>16.399999999999999</v>
      </c>
      <c r="F344">
        <v>68</v>
      </c>
    </row>
    <row r="345" spans="1:6" x14ac:dyDescent="0.2">
      <c r="A345">
        <v>1990</v>
      </c>
      <c r="B345">
        <v>7</v>
      </c>
      <c r="C345">
        <v>25.7</v>
      </c>
      <c r="D345">
        <v>34.6</v>
      </c>
      <c r="E345">
        <v>17.899999999999999</v>
      </c>
      <c r="F345">
        <v>51</v>
      </c>
    </row>
    <row r="346" spans="1:6" x14ac:dyDescent="0.2">
      <c r="A346">
        <v>1990</v>
      </c>
      <c r="B346">
        <v>8</v>
      </c>
      <c r="C346">
        <v>28.6</v>
      </c>
      <c r="D346">
        <v>35.9</v>
      </c>
      <c r="E346">
        <v>22.6</v>
      </c>
      <c r="F346">
        <v>181.5</v>
      </c>
    </row>
    <row r="347" spans="1:6" x14ac:dyDescent="0.2">
      <c r="A347">
        <v>1990</v>
      </c>
      <c r="B347">
        <v>9</v>
      </c>
      <c r="C347">
        <v>24.8</v>
      </c>
      <c r="D347">
        <v>34</v>
      </c>
      <c r="E347">
        <v>16.8</v>
      </c>
      <c r="F347">
        <v>287</v>
      </c>
    </row>
    <row r="348" spans="1:6" x14ac:dyDescent="0.2">
      <c r="A348">
        <v>1990</v>
      </c>
      <c r="B348">
        <v>10</v>
      </c>
      <c r="C348">
        <v>19.2</v>
      </c>
      <c r="D348">
        <v>28.2</v>
      </c>
      <c r="E348">
        <v>11.6</v>
      </c>
      <c r="F348">
        <v>148.5</v>
      </c>
    </row>
    <row r="349" spans="1:6" x14ac:dyDescent="0.2">
      <c r="A349">
        <v>1990</v>
      </c>
      <c r="B349">
        <v>11</v>
      </c>
      <c r="C349">
        <v>15.1</v>
      </c>
      <c r="D349">
        <v>25.7</v>
      </c>
      <c r="E349">
        <v>5.8</v>
      </c>
      <c r="F349">
        <v>234</v>
      </c>
    </row>
    <row r="350" spans="1:6" x14ac:dyDescent="0.2">
      <c r="A350">
        <v>1990</v>
      </c>
      <c r="B350">
        <v>12</v>
      </c>
      <c r="C350">
        <v>10</v>
      </c>
      <c r="D350">
        <v>23.5</v>
      </c>
      <c r="E350">
        <v>3.1</v>
      </c>
      <c r="F350">
        <v>38</v>
      </c>
    </row>
    <row r="351" spans="1:6" x14ac:dyDescent="0.2">
      <c r="A351">
        <v>1991</v>
      </c>
      <c r="B351">
        <v>1</v>
      </c>
      <c r="C351">
        <v>6.3</v>
      </c>
      <c r="D351">
        <v>14.4</v>
      </c>
      <c r="E351">
        <v>0.1</v>
      </c>
      <c r="F351">
        <v>55</v>
      </c>
    </row>
    <row r="352" spans="1:6" x14ac:dyDescent="0.2">
      <c r="A352">
        <v>1991</v>
      </c>
      <c r="B352">
        <v>2</v>
      </c>
      <c r="C352">
        <v>6.5</v>
      </c>
      <c r="D352">
        <v>16.600000000000001</v>
      </c>
      <c r="E352">
        <v>-0.8</v>
      </c>
      <c r="F352">
        <v>69</v>
      </c>
    </row>
    <row r="353" spans="1:6" x14ac:dyDescent="0.2">
      <c r="A353">
        <v>1991</v>
      </c>
      <c r="B353">
        <v>3</v>
      </c>
      <c r="C353">
        <v>9.5</v>
      </c>
      <c r="D353">
        <v>22.3</v>
      </c>
      <c r="E353">
        <v>1.6</v>
      </c>
      <c r="F353">
        <v>164</v>
      </c>
    </row>
    <row r="354" spans="1:6" x14ac:dyDescent="0.2">
      <c r="A354">
        <v>1991</v>
      </c>
      <c r="B354">
        <v>4</v>
      </c>
      <c r="C354">
        <v>15.4</v>
      </c>
      <c r="D354">
        <v>24.7</v>
      </c>
      <c r="E354">
        <v>5</v>
      </c>
      <c r="F354">
        <v>112.5</v>
      </c>
    </row>
    <row r="355" spans="1:6" x14ac:dyDescent="0.2">
      <c r="A355">
        <v>1991</v>
      </c>
      <c r="B355">
        <v>5</v>
      </c>
      <c r="C355">
        <v>18.8</v>
      </c>
      <c r="D355">
        <v>27.9</v>
      </c>
      <c r="E355">
        <v>7.8</v>
      </c>
      <c r="F355">
        <v>61</v>
      </c>
    </row>
    <row r="356" spans="1:6" x14ac:dyDescent="0.2">
      <c r="A356">
        <v>1991</v>
      </c>
      <c r="B356">
        <v>6</v>
      </c>
      <c r="C356">
        <v>23.6</v>
      </c>
      <c r="D356">
        <v>34.200000000000003</v>
      </c>
      <c r="E356">
        <v>16.7</v>
      </c>
      <c r="F356">
        <v>142</v>
      </c>
    </row>
    <row r="357" spans="1:6" x14ac:dyDescent="0.2">
      <c r="A357">
        <v>1991</v>
      </c>
      <c r="B357">
        <v>7</v>
      </c>
      <c r="C357">
        <v>26.7</v>
      </c>
      <c r="D357">
        <v>35.6</v>
      </c>
      <c r="E357">
        <v>20.100000000000001</v>
      </c>
      <c r="F357">
        <v>72</v>
      </c>
    </row>
    <row r="358" spans="1:6" x14ac:dyDescent="0.2">
      <c r="A358">
        <v>1991</v>
      </c>
      <c r="B358">
        <v>8</v>
      </c>
      <c r="C358">
        <v>25.5</v>
      </c>
      <c r="D358">
        <v>35.200000000000003</v>
      </c>
      <c r="E358">
        <v>19.600000000000001</v>
      </c>
      <c r="F358">
        <v>238</v>
      </c>
    </row>
    <row r="359" spans="1:6" x14ac:dyDescent="0.2">
      <c r="A359">
        <v>1991</v>
      </c>
      <c r="B359">
        <v>9</v>
      </c>
      <c r="C359">
        <v>23.9</v>
      </c>
      <c r="D359">
        <v>32.200000000000003</v>
      </c>
      <c r="E359">
        <v>16.899999999999999</v>
      </c>
      <c r="F359">
        <v>445.5</v>
      </c>
    </row>
    <row r="360" spans="1:6" x14ac:dyDescent="0.2">
      <c r="A360">
        <v>1991</v>
      </c>
      <c r="B360">
        <v>10</v>
      </c>
      <c r="C360">
        <v>18.100000000000001</v>
      </c>
      <c r="D360">
        <v>28.1</v>
      </c>
      <c r="E360">
        <v>12.3</v>
      </c>
      <c r="F360">
        <v>533</v>
      </c>
    </row>
    <row r="361" spans="1:6" x14ac:dyDescent="0.2">
      <c r="A361">
        <v>1991</v>
      </c>
      <c r="B361">
        <v>11</v>
      </c>
      <c r="C361">
        <v>13</v>
      </c>
      <c r="D361">
        <v>19.899999999999999</v>
      </c>
      <c r="E361">
        <v>4.7</v>
      </c>
      <c r="F361">
        <v>114</v>
      </c>
    </row>
    <row r="362" spans="1:6" x14ac:dyDescent="0.2">
      <c r="A362">
        <v>1991</v>
      </c>
      <c r="B362">
        <v>12</v>
      </c>
      <c r="C362">
        <v>9.1999999999999993</v>
      </c>
      <c r="D362">
        <v>18.8</v>
      </c>
      <c r="E362">
        <v>0.9</v>
      </c>
      <c r="F362">
        <v>36</v>
      </c>
    </row>
    <row r="363" spans="1:6" x14ac:dyDescent="0.2">
      <c r="A363">
        <v>1992</v>
      </c>
      <c r="B363">
        <v>1</v>
      </c>
      <c r="C363">
        <v>6.8</v>
      </c>
      <c r="D363">
        <v>15.1</v>
      </c>
      <c r="E363">
        <v>0.3</v>
      </c>
      <c r="F363">
        <v>50</v>
      </c>
    </row>
    <row r="364" spans="1:6" x14ac:dyDescent="0.2">
      <c r="A364">
        <v>1992</v>
      </c>
      <c r="B364">
        <v>2</v>
      </c>
      <c r="C364">
        <v>6.9</v>
      </c>
      <c r="D364">
        <v>20.100000000000001</v>
      </c>
      <c r="E364">
        <v>-0.5</v>
      </c>
      <c r="F364">
        <v>36</v>
      </c>
    </row>
    <row r="365" spans="1:6" x14ac:dyDescent="0.2">
      <c r="A365">
        <v>1992</v>
      </c>
      <c r="B365">
        <v>3</v>
      </c>
      <c r="C365">
        <v>9.6999999999999993</v>
      </c>
      <c r="D365">
        <v>21.7</v>
      </c>
      <c r="E365">
        <v>1.7</v>
      </c>
      <c r="F365">
        <v>205</v>
      </c>
    </row>
    <row r="366" spans="1:6" x14ac:dyDescent="0.2">
      <c r="A366">
        <v>1992</v>
      </c>
      <c r="B366">
        <v>4</v>
      </c>
      <c r="C366">
        <v>15.1</v>
      </c>
      <c r="D366">
        <v>24.1</v>
      </c>
      <c r="E366">
        <v>5.0999999999999996</v>
      </c>
      <c r="F366">
        <v>167.5</v>
      </c>
    </row>
    <row r="367" spans="1:6" x14ac:dyDescent="0.2">
      <c r="A367">
        <v>1992</v>
      </c>
      <c r="B367">
        <v>5</v>
      </c>
      <c r="C367">
        <v>17.3</v>
      </c>
      <c r="D367">
        <v>27.8</v>
      </c>
      <c r="E367">
        <v>9.3000000000000007</v>
      </c>
      <c r="F367">
        <v>134</v>
      </c>
    </row>
    <row r="368" spans="1:6" x14ac:dyDescent="0.2">
      <c r="A368">
        <v>1992</v>
      </c>
      <c r="B368">
        <v>6</v>
      </c>
      <c r="C368">
        <v>20.6</v>
      </c>
      <c r="D368">
        <v>28</v>
      </c>
      <c r="E368">
        <v>14.2</v>
      </c>
      <c r="F368">
        <v>237</v>
      </c>
    </row>
    <row r="369" spans="1:6" x14ac:dyDescent="0.2">
      <c r="A369">
        <v>1992</v>
      </c>
      <c r="B369">
        <v>7</v>
      </c>
      <c r="C369">
        <v>25.5</v>
      </c>
      <c r="D369">
        <v>34.700000000000003</v>
      </c>
      <c r="E369">
        <v>17</v>
      </c>
      <c r="F369">
        <v>111.5</v>
      </c>
    </row>
    <row r="370" spans="1:6" x14ac:dyDescent="0.2">
      <c r="A370">
        <v>1992</v>
      </c>
      <c r="B370">
        <v>8</v>
      </c>
      <c r="C370">
        <v>27</v>
      </c>
      <c r="D370">
        <v>34.200000000000003</v>
      </c>
      <c r="E370">
        <v>18.899999999999999</v>
      </c>
      <c r="F370">
        <v>9</v>
      </c>
    </row>
    <row r="371" spans="1:6" x14ac:dyDescent="0.2">
      <c r="A371">
        <v>1992</v>
      </c>
      <c r="B371">
        <v>9</v>
      </c>
      <c r="C371">
        <v>23.3</v>
      </c>
      <c r="D371">
        <v>35.200000000000003</v>
      </c>
      <c r="E371">
        <v>14.1</v>
      </c>
      <c r="F371">
        <v>108</v>
      </c>
    </row>
    <row r="372" spans="1:6" x14ac:dyDescent="0.2">
      <c r="A372">
        <v>1992</v>
      </c>
      <c r="B372">
        <v>10</v>
      </c>
      <c r="C372">
        <v>17.3</v>
      </c>
      <c r="D372">
        <v>27.3</v>
      </c>
      <c r="E372">
        <v>10.1</v>
      </c>
      <c r="F372">
        <v>328</v>
      </c>
    </row>
    <row r="373" spans="1:6" x14ac:dyDescent="0.2">
      <c r="A373">
        <v>1992</v>
      </c>
      <c r="B373">
        <v>11</v>
      </c>
      <c r="C373">
        <v>13</v>
      </c>
      <c r="D373">
        <v>22.5</v>
      </c>
      <c r="E373">
        <v>4.4000000000000004</v>
      </c>
      <c r="F373">
        <v>168</v>
      </c>
    </row>
    <row r="374" spans="1:6" x14ac:dyDescent="0.2">
      <c r="A374">
        <v>1992</v>
      </c>
      <c r="B374">
        <v>12</v>
      </c>
      <c r="C374">
        <v>9.4</v>
      </c>
      <c r="D374">
        <v>20.6</v>
      </c>
      <c r="E374">
        <v>1</v>
      </c>
      <c r="F374">
        <v>65.5</v>
      </c>
    </row>
    <row r="375" spans="1:6" x14ac:dyDescent="0.2">
      <c r="A375">
        <v>1993</v>
      </c>
      <c r="B375">
        <v>1</v>
      </c>
      <c r="C375">
        <v>6.2</v>
      </c>
      <c r="D375">
        <v>12.9</v>
      </c>
      <c r="E375">
        <v>1.2</v>
      </c>
      <c r="F375">
        <v>115</v>
      </c>
    </row>
    <row r="376" spans="1:6" x14ac:dyDescent="0.2">
      <c r="A376">
        <v>1993</v>
      </c>
      <c r="B376">
        <v>2</v>
      </c>
      <c r="C376">
        <v>7.7</v>
      </c>
      <c r="D376">
        <v>21.9</v>
      </c>
      <c r="E376">
        <v>0.7</v>
      </c>
      <c r="F376">
        <v>57</v>
      </c>
    </row>
    <row r="377" spans="1:6" x14ac:dyDescent="0.2">
      <c r="A377">
        <v>1993</v>
      </c>
      <c r="B377">
        <v>3</v>
      </c>
      <c r="C377">
        <v>8.6999999999999993</v>
      </c>
      <c r="D377">
        <v>18.3</v>
      </c>
      <c r="E377">
        <v>1.5</v>
      </c>
      <c r="F377">
        <v>60.5</v>
      </c>
    </row>
    <row r="378" spans="1:6" x14ac:dyDescent="0.2">
      <c r="A378">
        <v>1993</v>
      </c>
      <c r="B378">
        <v>4</v>
      </c>
      <c r="C378">
        <v>13.4</v>
      </c>
      <c r="D378">
        <v>26.9</v>
      </c>
      <c r="E378">
        <v>4.8</v>
      </c>
      <c r="F378">
        <v>58</v>
      </c>
    </row>
    <row r="379" spans="1:6" x14ac:dyDescent="0.2">
      <c r="A379">
        <v>1993</v>
      </c>
      <c r="B379">
        <v>5</v>
      </c>
      <c r="C379">
        <v>18.100000000000001</v>
      </c>
      <c r="D379">
        <v>30.7</v>
      </c>
      <c r="E379">
        <v>8.3000000000000007</v>
      </c>
      <c r="F379">
        <v>65.5</v>
      </c>
    </row>
    <row r="380" spans="1:6" x14ac:dyDescent="0.2">
      <c r="A380">
        <v>1993</v>
      </c>
      <c r="B380">
        <v>6</v>
      </c>
      <c r="C380">
        <v>21.7</v>
      </c>
      <c r="D380">
        <v>31.9</v>
      </c>
      <c r="E380">
        <v>14.3</v>
      </c>
      <c r="F380">
        <v>260</v>
      </c>
    </row>
    <row r="381" spans="1:6" x14ac:dyDescent="0.2">
      <c r="A381">
        <v>1993</v>
      </c>
      <c r="B381">
        <v>7</v>
      </c>
      <c r="C381">
        <v>22.5</v>
      </c>
      <c r="D381">
        <v>32.299999999999997</v>
      </c>
      <c r="E381">
        <v>16.399999999999999</v>
      </c>
      <c r="F381">
        <v>316.5</v>
      </c>
    </row>
    <row r="382" spans="1:6" x14ac:dyDescent="0.2">
      <c r="A382">
        <v>1993</v>
      </c>
      <c r="B382">
        <v>8</v>
      </c>
      <c r="C382">
        <v>24.8</v>
      </c>
      <c r="D382">
        <v>32.9</v>
      </c>
      <c r="E382">
        <v>18.399999999999999</v>
      </c>
      <c r="F382">
        <v>412</v>
      </c>
    </row>
    <row r="383" spans="1:6" x14ac:dyDescent="0.2">
      <c r="A383">
        <v>1993</v>
      </c>
      <c r="B383">
        <v>9</v>
      </c>
      <c r="C383">
        <v>22.9</v>
      </c>
      <c r="D383">
        <v>32.1</v>
      </c>
      <c r="E383">
        <v>14.9</v>
      </c>
      <c r="F383">
        <v>140</v>
      </c>
    </row>
    <row r="384" spans="1:6" x14ac:dyDescent="0.2">
      <c r="A384">
        <v>1993</v>
      </c>
      <c r="B384">
        <v>10</v>
      </c>
      <c r="C384">
        <v>17.5</v>
      </c>
      <c r="D384">
        <v>25.3</v>
      </c>
      <c r="E384">
        <v>8.6</v>
      </c>
      <c r="F384">
        <v>156</v>
      </c>
    </row>
    <row r="385" spans="1:6" x14ac:dyDescent="0.2">
      <c r="A385">
        <v>1993</v>
      </c>
      <c r="B385">
        <v>11</v>
      </c>
      <c r="C385">
        <v>14.1</v>
      </c>
      <c r="D385">
        <v>24</v>
      </c>
      <c r="E385">
        <v>5.2</v>
      </c>
      <c r="F385">
        <v>167</v>
      </c>
    </row>
    <row r="386" spans="1:6" x14ac:dyDescent="0.2">
      <c r="A386">
        <v>1993</v>
      </c>
      <c r="B386">
        <v>12</v>
      </c>
      <c r="C386">
        <v>8.5</v>
      </c>
      <c r="D386">
        <v>21.1</v>
      </c>
      <c r="E386">
        <v>0.7</v>
      </c>
      <c r="F386">
        <v>65</v>
      </c>
    </row>
    <row r="387" spans="1:6" x14ac:dyDescent="0.2">
      <c r="A387">
        <v>1994</v>
      </c>
      <c r="B387">
        <v>1</v>
      </c>
      <c r="C387">
        <v>5.5</v>
      </c>
      <c r="D387">
        <v>16.8</v>
      </c>
      <c r="E387">
        <v>-1.3</v>
      </c>
      <c r="F387">
        <v>50</v>
      </c>
    </row>
    <row r="388" spans="1:6" x14ac:dyDescent="0.2">
      <c r="A388">
        <v>1994</v>
      </c>
      <c r="B388">
        <v>2</v>
      </c>
      <c r="C388">
        <v>6.6</v>
      </c>
      <c r="D388">
        <v>16</v>
      </c>
      <c r="E388">
        <v>-2.2999999999999998</v>
      </c>
      <c r="F388">
        <v>88.5</v>
      </c>
    </row>
    <row r="389" spans="1:6" x14ac:dyDescent="0.2">
      <c r="A389">
        <v>1994</v>
      </c>
      <c r="B389">
        <v>3</v>
      </c>
      <c r="C389">
        <v>8.1</v>
      </c>
      <c r="D389">
        <v>18.7</v>
      </c>
      <c r="E389">
        <v>2.2999999999999998</v>
      </c>
      <c r="F389">
        <v>114.5</v>
      </c>
    </row>
    <row r="390" spans="1:6" x14ac:dyDescent="0.2">
      <c r="A390">
        <v>1994</v>
      </c>
      <c r="B390">
        <v>4</v>
      </c>
      <c r="C390">
        <v>15.8</v>
      </c>
      <c r="D390">
        <v>24.4</v>
      </c>
      <c r="E390">
        <v>4.3</v>
      </c>
      <c r="F390">
        <v>49</v>
      </c>
    </row>
    <row r="391" spans="1:6" x14ac:dyDescent="0.2">
      <c r="A391">
        <v>1994</v>
      </c>
      <c r="B391">
        <v>5</v>
      </c>
      <c r="C391">
        <v>19.5</v>
      </c>
      <c r="D391">
        <v>29.3</v>
      </c>
      <c r="E391">
        <v>10.8</v>
      </c>
      <c r="F391">
        <v>133.5</v>
      </c>
    </row>
    <row r="392" spans="1:6" x14ac:dyDescent="0.2">
      <c r="A392">
        <v>1994</v>
      </c>
      <c r="B392">
        <v>6</v>
      </c>
      <c r="C392">
        <v>22.4</v>
      </c>
      <c r="D392">
        <v>31.7</v>
      </c>
      <c r="E392">
        <v>14.3</v>
      </c>
      <c r="F392">
        <v>144.5</v>
      </c>
    </row>
    <row r="393" spans="1:6" x14ac:dyDescent="0.2">
      <c r="A393">
        <v>1994</v>
      </c>
      <c r="B393">
        <v>7</v>
      </c>
      <c r="C393">
        <v>28.3</v>
      </c>
      <c r="D393">
        <v>35.6</v>
      </c>
      <c r="E393">
        <v>22.6</v>
      </c>
      <c r="F393">
        <v>93.5</v>
      </c>
    </row>
    <row r="394" spans="1:6" x14ac:dyDescent="0.2">
      <c r="A394">
        <v>1994</v>
      </c>
      <c r="B394">
        <v>8</v>
      </c>
      <c r="C394">
        <v>28.9</v>
      </c>
      <c r="D394">
        <v>39.1</v>
      </c>
      <c r="E394">
        <v>20.399999999999999</v>
      </c>
      <c r="F394">
        <v>92.5</v>
      </c>
    </row>
    <row r="395" spans="1:6" x14ac:dyDescent="0.2">
      <c r="A395">
        <v>1994</v>
      </c>
      <c r="B395">
        <v>9</v>
      </c>
      <c r="C395">
        <v>24.8</v>
      </c>
      <c r="D395">
        <v>32.9</v>
      </c>
      <c r="E395">
        <v>18.3</v>
      </c>
      <c r="F395">
        <v>235</v>
      </c>
    </row>
    <row r="396" spans="1:6" x14ac:dyDescent="0.2">
      <c r="A396">
        <v>1994</v>
      </c>
      <c r="B396">
        <v>10</v>
      </c>
      <c r="C396">
        <v>20.2</v>
      </c>
      <c r="D396">
        <v>27.9</v>
      </c>
      <c r="E396">
        <v>11.9</v>
      </c>
      <c r="F396">
        <v>57</v>
      </c>
    </row>
    <row r="397" spans="1:6" x14ac:dyDescent="0.2">
      <c r="A397">
        <v>1994</v>
      </c>
      <c r="B397">
        <v>11</v>
      </c>
      <c r="C397">
        <v>13.4</v>
      </c>
      <c r="D397">
        <v>23.9</v>
      </c>
      <c r="E397">
        <v>4.5</v>
      </c>
      <c r="F397">
        <v>50.5</v>
      </c>
    </row>
    <row r="398" spans="1:6" x14ac:dyDescent="0.2">
      <c r="A398">
        <v>1994</v>
      </c>
      <c r="B398">
        <v>12</v>
      </c>
      <c r="C398">
        <v>9</v>
      </c>
      <c r="D398">
        <v>17.7</v>
      </c>
      <c r="E398">
        <v>1.4</v>
      </c>
      <c r="F398">
        <v>23</v>
      </c>
    </row>
    <row r="399" spans="1:6" x14ac:dyDescent="0.2">
      <c r="A399">
        <v>1995</v>
      </c>
      <c r="B399">
        <v>1</v>
      </c>
      <c r="C399">
        <v>6.3</v>
      </c>
      <c r="D399">
        <v>16.100000000000001</v>
      </c>
      <c r="E399">
        <v>-1.2</v>
      </c>
      <c r="F399">
        <v>36</v>
      </c>
    </row>
    <row r="400" spans="1:6" x14ac:dyDescent="0.2">
      <c r="A400">
        <v>1995</v>
      </c>
      <c r="B400">
        <v>2</v>
      </c>
      <c r="C400">
        <v>6.5</v>
      </c>
      <c r="D400">
        <v>13.9</v>
      </c>
      <c r="E400">
        <v>0.1</v>
      </c>
      <c r="F400">
        <v>27</v>
      </c>
    </row>
    <row r="401" spans="1:6" x14ac:dyDescent="0.2">
      <c r="A401">
        <v>1995</v>
      </c>
      <c r="B401">
        <v>3</v>
      </c>
      <c r="C401">
        <v>8.9</v>
      </c>
      <c r="D401">
        <v>19.899999999999999</v>
      </c>
      <c r="E401">
        <v>1</v>
      </c>
      <c r="F401">
        <v>180</v>
      </c>
    </row>
    <row r="402" spans="1:6" x14ac:dyDescent="0.2">
      <c r="A402">
        <v>1995</v>
      </c>
      <c r="B402">
        <v>4</v>
      </c>
      <c r="C402">
        <v>15</v>
      </c>
      <c r="D402">
        <v>25.5</v>
      </c>
      <c r="E402">
        <v>4.9000000000000004</v>
      </c>
      <c r="F402">
        <v>99.5</v>
      </c>
    </row>
    <row r="403" spans="1:6" x14ac:dyDescent="0.2">
      <c r="A403">
        <v>1995</v>
      </c>
      <c r="B403">
        <v>5</v>
      </c>
      <c r="C403">
        <v>19.100000000000001</v>
      </c>
      <c r="D403">
        <v>26.7</v>
      </c>
      <c r="E403">
        <v>12.9</v>
      </c>
      <c r="F403">
        <v>204.5</v>
      </c>
    </row>
    <row r="404" spans="1:6" x14ac:dyDescent="0.2">
      <c r="A404">
        <v>1995</v>
      </c>
      <c r="B404">
        <v>6</v>
      </c>
      <c r="C404">
        <v>20.399999999999999</v>
      </c>
      <c r="D404">
        <v>28.8</v>
      </c>
      <c r="E404">
        <v>14.9</v>
      </c>
      <c r="F404">
        <v>185.5</v>
      </c>
    </row>
    <row r="405" spans="1:6" x14ac:dyDescent="0.2">
      <c r="A405">
        <v>1995</v>
      </c>
      <c r="B405">
        <v>7</v>
      </c>
      <c r="C405">
        <v>26.4</v>
      </c>
      <c r="D405">
        <v>35.9</v>
      </c>
      <c r="E405">
        <v>19.399999999999999</v>
      </c>
      <c r="F405">
        <v>171</v>
      </c>
    </row>
    <row r="406" spans="1:6" x14ac:dyDescent="0.2">
      <c r="A406">
        <v>1995</v>
      </c>
      <c r="B406">
        <v>8</v>
      </c>
      <c r="C406">
        <v>29.4</v>
      </c>
      <c r="D406">
        <v>36.4</v>
      </c>
      <c r="E406">
        <v>24.5</v>
      </c>
      <c r="F406">
        <v>31</v>
      </c>
    </row>
    <row r="407" spans="1:6" x14ac:dyDescent="0.2">
      <c r="A407">
        <v>1995</v>
      </c>
      <c r="B407">
        <v>9</v>
      </c>
      <c r="C407">
        <v>23.7</v>
      </c>
      <c r="D407">
        <v>35.799999999999997</v>
      </c>
      <c r="E407">
        <v>15.1</v>
      </c>
      <c r="F407">
        <v>164.5</v>
      </c>
    </row>
    <row r="408" spans="1:6" x14ac:dyDescent="0.2">
      <c r="A408">
        <v>1995</v>
      </c>
      <c r="B408">
        <v>10</v>
      </c>
      <c r="C408">
        <v>19.5</v>
      </c>
      <c r="D408">
        <v>27.8</v>
      </c>
      <c r="E408">
        <v>12.3</v>
      </c>
      <c r="F408">
        <v>79</v>
      </c>
    </row>
    <row r="409" spans="1:6" x14ac:dyDescent="0.2">
      <c r="A409">
        <v>1995</v>
      </c>
      <c r="B409">
        <v>11</v>
      </c>
      <c r="C409">
        <v>12.7</v>
      </c>
      <c r="D409">
        <v>23.9</v>
      </c>
      <c r="E409">
        <v>5.2</v>
      </c>
      <c r="F409">
        <v>42</v>
      </c>
    </row>
    <row r="410" spans="1:6" x14ac:dyDescent="0.2">
      <c r="A410">
        <v>1995</v>
      </c>
      <c r="B410">
        <v>12</v>
      </c>
      <c r="C410">
        <v>7.7</v>
      </c>
      <c r="D410">
        <v>16.7</v>
      </c>
      <c r="E410">
        <v>-0.6</v>
      </c>
      <c r="F410">
        <v>0</v>
      </c>
    </row>
    <row r="411" spans="1:6" x14ac:dyDescent="0.2">
      <c r="A411">
        <v>1996</v>
      </c>
      <c r="B411">
        <v>1</v>
      </c>
      <c r="C411">
        <v>6.6</v>
      </c>
      <c r="D411">
        <v>19.899999999999999</v>
      </c>
      <c r="E411">
        <v>-0.4</v>
      </c>
      <c r="F411">
        <v>13</v>
      </c>
    </row>
    <row r="412" spans="1:6" x14ac:dyDescent="0.2">
      <c r="A412">
        <v>1996</v>
      </c>
      <c r="B412">
        <v>2</v>
      </c>
      <c r="C412">
        <v>5.4</v>
      </c>
      <c r="D412">
        <v>20.9</v>
      </c>
      <c r="E412">
        <v>-1.5</v>
      </c>
      <c r="F412">
        <v>45</v>
      </c>
    </row>
    <row r="413" spans="1:6" x14ac:dyDescent="0.2">
      <c r="A413">
        <v>1996</v>
      </c>
      <c r="B413">
        <v>3</v>
      </c>
      <c r="C413">
        <v>9.1999999999999993</v>
      </c>
      <c r="D413">
        <v>23.1</v>
      </c>
      <c r="E413">
        <v>0.7</v>
      </c>
      <c r="F413">
        <v>118</v>
      </c>
    </row>
    <row r="414" spans="1:6" x14ac:dyDescent="0.2">
      <c r="A414">
        <v>1996</v>
      </c>
      <c r="B414">
        <v>4</v>
      </c>
      <c r="C414">
        <v>12.7</v>
      </c>
      <c r="D414">
        <v>26.2</v>
      </c>
      <c r="E414">
        <v>3.7</v>
      </c>
      <c r="F414">
        <v>111</v>
      </c>
    </row>
    <row r="415" spans="1:6" x14ac:dyDescent="0.2">
      <c r="A415">
        <v>1996</v>
      </c>
      <c r="B415">
        <v>5</v>
      </c>
      <c r="C415">
        <v>18.100000000000001</v>
      </c>
      <c r="D415">
        <v>30.5</v>
      </c>
      <c r="E415">
        <v>10.5</v>
      </c>
      <c r="F415">
        <v>128</v>
      </c>
    </row>
    <row r="416" spans="1:6" x14ac:dyDescent="0.2">
      <c r="A416">
        <v>1996</v>
      </c>
      <c r="B416">
        <v>6</v>
      </c>
      <c r="C416">
        <v>22.6</v>
      </c>
      <c r="D416">
        <v>31.8</v>
      </c>
      <c r="E416">
        <v>15.7</v>
      </c>
      <c r="F416">
        <v>36</v>
      </c>
    </row>
    <row r="417" spans="1:6" x14ac:dyDescent="0.2">
      <c r="A417">
        <v>1996</v>
      </c>
      <c r="B417">
        <v>7</v>
      </c>
      <c r="C417">
        <v>26.2</v>
      </c>
      <c r="D417">
        <v>34.799999999999997</v>
      </c>
      <c r="E417">
        <v>17.2</v>
      </c>
      <c r="F417">
        <v>253.5</v>
      </c>
    </row>
    <row r="418" spans="1:6" x14ac:dyDescent="0.2">
      <c r="A418">
        <v>1996</v>
      </c>
      <c r="B418">
        <v>8</v>
      </c>
      <c r="C418">
        <v>26</v>
      </c>
      <c r="D418">
        <v>38.700000000000003</v>
      </c>
      <c r="E418">
        <v>17.899999999999999</v>
      </c>
      <c r="F418">
        <v>31.5</v>
      </c>
    </row>
    <row r="419" spans="1:6" x14ac:dyDescent="0.2">
      <c r="A419">
        <v>1996</v>
      </c>
      <c r="B419">
        <v>9</v>
      </c>
      <c r="C419">
        <v>22.4</v>
      </c>
      <c r="D419">
        <v>34.5</v>
      </c>
      <c r="E419">
        <v>14.8</v>
      </c>
      <c r="F419">
        <v>382</v>
      </c>
    </row>
    <row r="420" spans="1:6" x14ac:dyDescent="0.2">
      <c r="A420">
        <v>1996</v>
      </c>
      <c r="B420">
        <v>10</v>
      </c>
      <c r="C420">
        <v>18</v>
      </c>
      <c r="D420">
        <v>27.2</v>
      </c>
      <c r="E420">
        <v>9.3000000000000007</v>
      </c>
      <c r="F420">
        <v>83.5</v>
      </c>
    </row>
    <row r="421" spans="1:6" x14ac:dyDescent="0.2">
      <c r="A421">
        <v>1996</v>
      </c>
      <c r="B421">
        <v>11</v>
      </c>
      <c r="C421">
        <v>13.2</v>
      </c>
      <c r="D421">
        <v>24.2</v>
      </c>
      <c r="E421">
        <v>5.8</v>
      </c>
      <c r="F421">
        <v>84</v>
      </c>
    </row>
    <row r="422" spans="1:6" x14ac:dyDescent="0.2">
      <c r="A422">
        <v>1996</v>
      </c>
      <c r="B422">
        <v>12</v>
      </c>
      <c r="C422">
        <v>9.3000000000000007</v>
      </c>
      <c r="D422">
        <v>18.600000000000001</v>
      </c>
      <c r="E422">
        <v>2.4</v>
      </c>
      <c r="F422">
        <v>48</v>
      </c>
    </row>
    <row r="423" spans="1:6" x14ac:dyDescent="0.2">
      <c r="A423">
        <v>1997</v>
      </c>
      <c r="B423">
        <v>1</v>
      </c>
      <c r="C423">
        <v>6.8</v>
      </c>
      <c r="D423">
        <v>16.399999999999999</v>
      </c>
      <c r="E423">
        <v>-2.1</v>
      </c>
      <c r="F423">
        <v>29</v>
      </c>
    </row>
    <row r="424" spans="1:6" x14ac:dyDescent="0.2">
      <c r="A424">
        <v>1997</v>
      </c>
      <c r="B424">
        <v>2</v>
      </c>
      <c r="C424">
        <v>7</v>
      </c>
      <c r="D424">
        <v>18</v>
      </c>
      <c r="E424">
        <v>-1.4</v>
      </c>
      <c r="F424">
        <v>21.5</v>
      </c>
    </row>
    <row r="425" spans="1:6" x14ac:dyDescent="0.2">
      <c r="A425">
        <v>1997</v>
      </c>
      <c r="B425">
        <v>3</v>
      </c>
      <c r="C425">
        <v>10.5</v>
      </c>
      <c r="D425">
        <v>25.1</v>
      </c>
      <c r="E425">
        <v>3</v>
      </c>
      <c r="F425">
        <v>106</v>
      </c>
    </row>
    <row r="426" spans="1:6" x14ac:dyDescent="0.2">
      <c r="A426">
        <v>1997</v>
      </c>
      <c r="B426">
        <v>4</v>
      </c>
      <c r="C426">
        <v>15.2</v>
      </c>
      <c r="D426">
        <v>27.2</v>
      </c>
      <c r="E426">
        <v>8</v>
      </c>
      <c r="F426">
        <v>105.5</v>
      </c>
    </row>
    <row r="427" spans="1:6" x14ac:dyDescent="0.2">
      <c r="A427">
        <v>1997</v>
      </c>
      <c r="B427">
        <v>5</v>
      </c>
      <c r="C427">
        <v>19.2</v>
      </c>
      <c r="D427">
        <v>27.9</v>
      </c>
      <c r="E427">
        <v>11.3</v>
      </c>
      <c r="F427">
        <v>186</v>
      </c>
    </row>
    <row r="428" spans="1:6" x14ac:dyDescent="0.2">
      <c r="A428">
        <v>1997</v>
      </c>
      <c r="B428">
        <v>6</v>
      </c>
      <c r="C428">
        <v>22.7</v>
      </c>
      <c r="D428">
        <v>32.799999999999997</v>
      </c>
      <c r="E428">
        <v>13.4</v>
      </c>
      <c r="F428">
        <v>170.5</v>
      </c>
    </row>
    <row r="429" spans="1:6" x14ac:dyDescent="0.2">
      <c r="A429">
        <v>1997</v>
      </c>
      <c r="B429">
        <v>7</v>
      </c>
      <c r="C429">
        <v>26.6</v>
      </c>
      <c r="D429">
        <v>37.700000000000003</v>
      </c>
      <c r="E429">
        <v>19.399999999999999</v>
      </c>
      <c r="F429">
        <v>185</v>
      </c>
    </row>
    <row r="430" spans="1:6" x14ac:dyDescent="0.2">
      <c r="A430">
        <v>1997</v>
      </c>
      <c r="B430">
        <v>8</v>
      </c>
      <c r="C430">
        <v>27</v>
      </c>
      <c r="D430">
        <v>34.5</v>
      </c>
      <c r="E430">
        <v>19.399999999999999</v>
      </c>
      <c r="F430">
        <v>144</v>
      </c>
    </row>
    <row r="431" spans="1:6" x14ac:dyDescent="0.2">
      <c r="A431">
        <v>1997</v>
      </c>
      <c r="B431">
        <v>9</v>
      </c>
      <c r="C431">
        <v>22.9</v>
      </c>
      <c r="D431">
        <v>32.9</v>
      </c>
      <c r="E431">
        <v>15.4</v>
      </c>
      <c r="F431">
        <v>204</v>
      </c>
    </row>
    <row r="432" spans="1:6" x14ac:dyDescent="0.2">
      <c r="A432">
        <v>1997</v>
      </c>
      <c r="B432">
        <v>10</v>
      </c>
      <c r="C432">
        <v>18.7</v>
      </c>
      <c r="D432">
        <v>27.1</v>
      </c>
      <c r="E432">
        <v>9.6</v>
      </c>
      <c r="F432">
        <v>19</v>
      </c>
    </row>
    <row r="433" spans="1:6" x14ac:dyDescent="0.2">
      <c r="A433">
        <v>1997</v>
      </c>
      <c r="B433">
        <v>11</v>
      </c>
      <c r="C433">
        <v>14.3</v>
      </c>
      <c r="D433">
        <v>24.4</v>
      </c>
      <c r="E433">
        <v>6.9</v>
      </c>
      <c r="F433">
        <v>91</v>
      </c>
    </row>
    <row r="434" spans="1:6" x14ac:dyDescent="0.2">
      <c r="A434">
        <v>1997</v>
      </c>
      <c r="B434">
        <v>12</v>
      </c>
      <c r="C434">
        <v>9.1999999999999993</v>
      </c>
      <c r="D434">
        <v>17.600000000000001</v>
      </c>
      <c r="E434">
        <v>2.5</v>
      </c>
      <c r="F434">
        <v>40.5</v>
      </c>
    </row>
    <row r="435" spans="1:6" x14ac:dyDescent="0.2">
      <c r="A435">
        <v>1998</v>
      </c>
      <c r="B435">
        <v>1</v>
      </c>
      <c r="C435">
        <v>5.3</v>
      </c>
      <c r="D435">
        <v>13.6</v>
      </c>
      <c r="E435">
        <v>-0.8</v>
      </c>
      <c r="F435">
        <v>122</v>
      </c>
    </row>
    <row r="436" spans="1:6" x14ac:dyDescent="0.2">
      <c r="A436">
        <v>1998</v>
      </c>
      <c r="B436">
        <v>2</v>
      </c>
      <c r="C436">
        <v>7</v>
      </c>
      <c r="D436">
        <v>23.1</v>
      </c>
      <c r="E436">
        <v>0.5</v>
      </c>
      <c r="F436">
        <v>110.5</v>
      </c>
    </row>
    <row r="437" spans="1:6" x14ac:dyDescent="0.2">
      <c r="A437">
        <v>1998</v>
      </c>
      <c r="B437">
        <v>3</v>
      </c>
      <c r="C437">
        <v>10.1</v>
      </c>
      <c r="D437">
        <v>24.5</v>
      </c>
      <c r="E437">
        <v>0.7</v>
      </c>
      <c r="F437">
        <v>108</v>
      </c>
    </row>
    <row r="438" spans="1:6" x14ac:dyDescent="0.2">
      <c r="A438">
        <v>1998</v>
      </c>
      <c r="B438">
        <v>4</v>
      </c>
      <c r="C438">
        <v>16.3</v>
      </c>
      <c r="D438">
        <v>27.1</v>
      </c>
      <c r="E438">
        <v>2.5</v>
      </c>
      <c r="F438">
        <v>188</v>
      </c>
    </row>
    <row r="439" spans="1:6" x14ac:dyDescent="0.2">
      <c r="A439">
        <v>1998</v>
      </c>
      <c r="B439">
        <v>5</v>
      </c>
      <c r="C439">
        <v>20.5</v>
      </c>
      <c r="D439">
        <v>29.3</v>
      </c>
      <c r="E439">
        <v>10.6</v>
      </c>
      <c r="F439">
        <v>140.5</v>
      </c>
    </row>
    <row r="440" spans="1:6" x14ac:dyDescent="0.2">
      <c r="A440">
        <v>1998</v>
      </c>
      <c r="B440">
        <v>6</v>
      </c>
      <c r="C440">
        <v>21.5</v>
      </c>
      <c r="D440">
        <v>33.700000000000003</v>
      </c>
      <c r="E440">
        <v>13.8</v>
      </c>
      <c r="F440">
        <v>150.5</v>
      </c>
    </row>
    <row r="441" spans="1:6" x14ac:dyDescent="0.2">
      <c r="A441">
        <v>1998</v>
      </c>
      <c r="B441">
        <v>7</v>
      </c>
      <c r="C441">
        <v>25.3</v>
      </c>
      <c r="D441">
        <v>36.1</v>
      </c>
      <c r="E441">
        <v>17</v>
      </c>
      <c r="F441">
        <v>156.5</v>
      </c>
    </row>
    <row r="442" spans="1:6" x14ac:dyDescent="0.2">
      <c r="A442">
        <v>1998</v>
      </c>
      <c r="B442">
        <v>8</v>
      </c>
      <c r="C442">
        <v>27.2</v>
      </c>
      <c r="D442">
        <v>35.5</v>
      </c>
      <c r="E442">
        <v>20.3</v>
      </c>
      <c r="F442">
        <v>143.5</v>
      </c>
    </row>
    <row r="443" spans="1:6" x14ac:dyDescent="0.2">
      <c r="A443">
        <v>1998</v>
      </c>
      <c r="B443">
        <v>9</v>
      </c>
      <c r="C443">
        <v>24.4</v>
      </c>
      <c r="D443">
        <v>32.799999999999997</v>
      </c>
      <c r="E443">
        <v>17.7</v>
      </c>
      <c r="F443">
        <v>229</v>
      </c>
    </row>
    <row r="444" spans="1:6" x14ac:dyDescent="0.2">
      <c r="A444">
        <v>1998</v>
      </c>
      <c r="B444">
        <v>10</v>
      </c>
      <c r="C444">
        <v>20.100000000000001</v>
      </c>
      <c r="D444">
        <v>31.9</v>
      </c>
      <c r="E444">
        <v>11.9</v>
      </c>
      <c r="F444">
        <v>142.5</v>
      </c>
    </row>
    <row r="445" spans="1:6" x14ac:dyDescent="0.2">
      <c r="A445">
        <v>1998</v>
      </c>
      <c r="B445">
        <v>11</v>
      </c>
      <c r="C445">
        <v>13.9</v>
      </c>
      <c r="D445">
        <v>25</v>
      </c>
      <c r="E445">
        <v>5.3</v>
      </c>
      <c r="F445">
        <v>7.5</v>
      </c>
    </row>
    <row r="446" spans="1:6" x14ac:dyDescent="0.2">
      <c r="A446">
        <v>1998</v>
      </c>
      <c r="B446">
        <v>12</v>
      </c>
      <c r="C446">
        <v>9</v>
      </c>
      <c r="D446">
        <v>18.399999999999999</v>
      </c>
      <c r="E446">
        <v>2.4</v>
      </c>
      <c r="F446">
        <v>48</v>
      </c>
    </row>
    <row r="447" spans="1:6" x14ac:dyDescent="0.2">
      <c r="A447">
        <v>1999</v>
      </c>
      <c r="B447">
        <v>1</v>
      </c>
      <c r="C447">
        <v>6.6</v>
      </c>
      <c r="D447">
        <v>16.399999999999999</v>
      </c>
      <c r="E447">
        <v>-0.9</v>
      </c>
      <c r="F447">
        <v>19.5</v>
      </c>
    </row>
    <row r="448" spans="1:6" x14ac:dyDescent="0.2">
      <c r="A448">
        <v>1999</v>
      </c>
      <c r="B448">
        <v>2</v>
      </c>
      <c r="C448">
        <v>6.7</v>
      </c>
      <c r="D448">
        <v>21.3</v>
      </c>
      <c r="E448">
        <v>-1.4</v>
      </c>
      <c r="F448">
        <v>35.5</v>
      </c>
    </row>
    <row r="449" spans="1:6" x14ac:dyDescent="0.2">
      <c r="A449">
        <v>1999</v>
      </c>
      <c r="B449">
        <v>3</v>
      </c>
      <c r="C449">
        <v>10.1</v>
      </c>
      <c r="D449">
        <v>20.3</v>
      </c>
      <c r="E449">
        <v>2.1</v>
      </c>
      <c r="F449">
        <v>144.5</v>
      </c>
    </row>
    <row r="450" spans="1:6" x14ac:dyDescent="0.2">
      <c r="A450">
        <v>1999</v>
      </c>
      <c r="B450">
        <v>4</v>
      </c>
      <c r="C450">
        <v>15</v>
      </c>
      <c r="D450">
        <v>24</v>
      </c>
      <c r="E450">
        <v>5.4</v>
      </c>
      <c r="F450">
        <v>205</v>
      </c>
    </row>
    <row r="451" spans="1:6" x14ac:dyDescent="0.2">
      <c r="A451">
        <v>1999</v>
      </c>
      <c r="B451">
        <v>5</v>
      </c>
      <c r="C451">
        <v>19.899999999999999</v>
      </c>
      <c r="D451">
        <v>31.9</v>
      </c>
      <c r="E451">
        <v>10.9</v>
      </c>
      <c r="F451">
        <v>103.5</v>
      </c>
    </row>
    <row r="452" spans="1:6" x14ac:dyDescent="0.2">
      <c r="A452">
        <v>1999</v>
      </c>
      <c r="B452">
        <v>6</v>
      </c>
      <c r="C452">
        <v>22.8</v>
      </c>
      <c r="D452">
        <v>32.9</v>
      </c>
      <c r="E452">
        <v>15.4</v>
      </c>
      <c r="F452">
        <v>192.5</v>
      </c>
    </row>
    <row r="453" spans="1:6" x14ac:dyDescent="0.2">
      <c r="A453">
        <v>1999</v>
      </c>
      <c r="B453">
        <v>7</v>
      </c>
      <c r="C453">
        <v>25.9</v>
      </c>
      <c r="D453">
        <v>34.200000000000003</v>
      </c>
      <c r="E453">
        <v>17.2</v>
      </c>
      <c r="F453">
        <v>342</v>
      </c>
    </row>
    <row r="454" spans="1:6" x14ac:dyDescent="0.2">
      <c r="A454">
        <v>1999</v>
      </c>
      <c r="B454">
        <v>8</v>
      </c>
      <c r="C454">
        <v>28.5</v>
      </c>
      <c r="D454">
        <v>34.799999999999997</v>
      </c>
      <c r="E454">
        <v>23.1</v>
      </c>
      <c r="F454">
        <v>301</v>
      </c>
    </row>
    <row r="455" spans="1:6" x14ac:dyDescent="0.2">
      <c r="A455">
        <v>1999</v>
      </c>
      <c r="B455">
        <v>9</v>
      </c>
      <c r="C455">
        <v>26.2</v>
      </c>
      <c r="D455">
        <v>34.200000000000003</v>
      </c>
      <c r="E455">
        <v>18</v>
      </c>
      <c r="F455">
        <v>91</v>
      </c>
    </row>
    <row r="456" spans="1:6" x14ac:dyDescent="0.2">
      <c r="A456">
        <v>1999</v>
      </c>
      <c r="B456">
        <v>10</v>
      </c>
      <c r="C456">
        <v>19.5</v>
      </c>
      <c r="D456">
        <v>29.2</v>
      </c>
      <c r="E456">
        <v>10.3</v>
      </c>
      <c r="F456">
        <v>87.5</v>
      </c>
    </row>
    <row r="457" spans="1:6" x14ac:dyDescent="0.2">
      <c r="A457">
        <v>1999</v>
      </c>
      <c r="B457">
        <v>11</v>
      </c>
      <c r="C457">
        <v>14.2</v>
      </c>
      <c r="D457">
        <v>23.8</v>
      </c>
      <c r="E457">
        <v>7</v>
      </c>
      <c r="F457">
        <v>93</v>
      </c>
    </row>
    <row r="458" spans="1:6" x14ac:dyDescent="0.2">
      <c r="A458">
        <v>1999</v>
      </c>
      <c r="B458">
        <v>12</v>
      </c>
      <c r="C458">
        <v>9</v>
      </c>
      <c r="D458">
        <v>18</v>
      </c>
      <c r="E458">
        <v>1.7</v>
      </c>
      <c r="F458">
        <v>7</v>
      </c>
    </row>
    <row r="459" spans="1:6" x14ac:dyDescent="0.2">
      <c r="A459">
        <v>2000</v>
      </c>
      <c r="B459">
        <v>1</v>
      </c>
      <c r="C459">
        <v>7.6</v>
      </c>
      <c r="D459">
        <v>16.899999999999999</v>
      </c>
      <c r="E459">
        <v>-0.7</v>
      </c>
      <c r="F459">
        <v>66.5</v>
      </c>
    </row>
    <row r="460" spans="1:6" x14ac:dyDescent="0.2">
      <c r="A460">
        <v>2000</v>
      </c>
      <c r="B460">
        <v>2</v>
      </c>
      <c r="C460">
        <v>6</v>
      </c>
      <c r="D460">
        <v>14.5</v>
      </c>
      <c r="E460">
        <v>0</v>
      </c>
      <c r="F460">
        <v>4</v>
      </c>
    </row>
    <row r="461" spans="1:6" x14ac:dyDescent="0.2">
      <c r="A461">
        <v>2000</v>
      </c>
      <c r="B461">
        <v>3</v>
      </c>
      <c r="C461">
        <v>9.4</v>
      </c>
      <c r="D461">
        <v>19.899999999999999</v>
      </c>
      <c r="E461">
        <v>1.5</v>
      </c>
      <c r="F461">
        <v>85.5</v>
      </c>
    </row>
    <row r="462" spans="1:6" x14ac:dyDescent="0.2">
      <c r="A462">
        <v>2000</v>
      </c>
      <c r="B462">
        <v>4</v>
      </c>
      <c r="C462">
        <v>14.5</v>
      </c>
      <c r="D462">
        <v>24.1</v>
      </c>
      <c r="E462">
        <v>6.4</v>
      </c>
      <c r="F462">
        <v>151.5</v>
      </c>
    </row>
    <row r="463" spans="1:6" x14ac:dyDescent="0.2">
      <c r="A463">
        <v>2000</v>
      </c>
      <c r="B463">
        <v>5</v>
      </c>
      <c r="C463">
        <v>19.8</v>
      </c>
      <c r="D463">
        <v>30</v>
      </c>
      <c r="E463">
        <v>12.9</v>
      </c>
      <c r="F463">
        <v>109</v>
      </c>
    </row>
    <row r="464" spans="1:6" x14ac:dyDescent="0.2">
      <c r="A464">
        <v>2000</v>
      </c>
      <c r="B464">
        <v>6</v>
      </c>
      <c r="C464">
        <v>22.5</v>
      </c>
      <c r="D464">
        <v>30.5</v>
      </c>
      <c r="E464">
        <v>16.399999999999999</v>
      </c>
      <c r="F464">
        <v>232</v>
      </c>
    </row>
    <row r="465" spans="1:6" x14ac:dyDescent="0.2">
      <c r="A465">
        <v>2000</v>
      </c>
      <c r="B465">
        <v>7</v>
      </c>
      <c r="C465">
        <v>27.7</v>
      </c>
      <c r="D465">
        <v>34.9</v>
      </c>
      <c r="E465">
        <v>19.899999999999999</v>
      </c>
      <c r="F465">
        <v>373.5</v>
      </c>
    </row>
    <row r="466" spans="1:6" x14ac:dyDescent="0.2">
      <c r="A466">
        <v>2000</v>
      </c>
      <c r="B466">
        <v>8</v>
      </c>
      <c r="C466">
        <v>28.3</v>
      </c>
      <c r="D466">
        <v>34.5</v>
      </c>
      <c r="E466">
        <v>22.2</v>
      </c>
      <c r="F466">
        <v>162</v>
      </c>
    </row>
    <row r="467" spans="1:6" x14ac:dyDescent="0.2">
      <c r="A467">
        <v>2000</v>
      </c>
      <c r="B467">
        <v>9</v>
      </c>
      <c r="C467">
        <v>25.6</v>
      </c>
      <c r="D467">
        <v>37.799999999999997</v>
      </c>
      <c r="E467">
        <v>17.8</v>
      </c>
      <c r="F467">
        <v>164</v>
      </c>
    </row>
    <row r="468" spans="1:6" x14ac:dyDescent="0.2">
      <c r="A468">
        <v>2000</v>
      </c>
      <c r="B468">
        <v>10</v>
      </c>
      <c r="C468">
        <v>18.8</v>
      </c>
      <c r="D468">
        <v>28.1</v>
      </c>
      <c r="E468">
        <v>11.1</v>
      </c>
      <c r="F468">
        <v>142.5</v>
      </c>
    </row>
    <row r="469" spans="1:6" x14ac:dyDescent="0.2">
      <c r="A469">
        <v>2000</v>
      </c>
      <c r="B469">
        <v>11</v>
      </c>
      <c r="C469">
        <v>13.3</v>
      </c>
      <c r="D469">
        <v>23.1</v>
      </c>
      <c r="E469">
        <v>5.3</v>
      </c>
      <c r="F469">
        <v>106</v>
      </c>
    </row>
    <row r="470" spans="1:6" x14ac:dyDescent="0.2">
      <c r="A470">
        <v>2000</v>
      </c>
      <c r="B470">
        <v>12</v>
      </c>
      <c r="C470">
        <v>8.8000000000000007</v>
      </c>
      <c r="D470">
        <v>20.2</v>
      </c>
      <c r="E470">
        <v>1.7</v>
      </c>
      <c r="F470">
        <v>6.5</v>
      </c>
    </row>
    <row r="471" spans="1:6" x14ac:dyDescent="0.2">
      <c r="A471">
        <v>2001</v>
      </c>
      <c r="B471">
        <v>1</v>
      </c>
      <c r="C471">
        <v>4.9000000000000004</v>
      </c>
      <c r="D471">
        <v>13.8</v>
      </c>
      <c r="E471">
        <v>-2.4</v>
      </c>
      <c r="F471">
        <v>126.5</v>
      </c>
    </row>
    <row r="472" spans="1:6" x14ac:dyDescent="0.2">
      <c r="A472">
        <v>2001</v>
      </c>
      <c r="B472">
        <v>2</v>
      </c>
      <c r="C472">
        <v>6.6</v>
      </c>
      <c r="D472">
        <v>19.7</v>
      </c>
      <c r="E472">
        <v>0</v>
      </c>
      <c r="F472">
        <v>23</v>
      </c>
    </row>
    <row r="473" spans="1:6" x14ac:dyDescent="0.2">
      <c r="A473">
        <v>2001</v>
      </c>
      <c r="B473">
        <v>3</v>
      </c>
      <c r="C473">
        <v>9.8000000000000007</v>
      </c>
      <c r="D473">
        <v>22.8</v>
      </c>
      <c r="E473">
        <v>1.1000000000000001</v>
      </c>
      <c r="F473">
        <v>107.5</v>
      </c>
    </row>
    <row r="474" spans="1:6" x14ac:dyDescent="0.2">
      <c r="A474">
        <v>2001</v>
      </c>
      <c r="B474">
        <v>4</v>
      </c>
      <c r="C474">
        <v>15.7</v>
      </c>
      <c r="D474">
        <v>26.2</v>
      </c>
      <c r="E474">
        <v>1</v>
      </c>
      <c r="F474">
        <v>40.5</v>
      </c>
    </row>
    <row r="475" spans="1:6" x14ac:dyDescent="0.2">
      <c r="A475">
        <v>2001</v>
      </c>
      <c r="B475">
        <v>5</v>
      </c>
      <c r="C475">
        <v>19.5</v>
      </c>
      <c r="D475">
        <v>27.5</v>
      </c>
      <c r="E475">
        <v>8.6999999999999993</v>
      </c>
      <c r="F475">
        <v>170.5</v>
      </c>
    </row>
    <row r="476" spans="1:6" x14ac:dyDescent="0.2">
      <c r="A476">
        <v>2001</v>
      </c>
      <c r="B476">
        <v>6</v>
      </c>
      <c r="C476">
        <v>23.1</v>
      </c>
      <c r="D476">
        <v>33.700000000000003</v>
      </c>
      <c r="E476">
        <v>16.100000000000001</v>
      </c>
      <c r="F476">
        <v>144.5</v>
      </c>
    </row>
    <row r="477" spans="1:6" x14ac:dyDescent="0.2">
      <c r="A477">
        <v>2001</v>
      </c>
      <c r="B477">
        <v>7</v>
      </c>
      <c r="C477">
        <v>28.5</v>
      </c>
      <c r="D477">
        <v>38.1</v>
      </c>
      <c r="E477">
        <v>21.9</v>
      </c>
      <c r="F477">
        <v>41.5</v>
      </c>
    </row>
    <row r="478" spans="1:6" x14ac:dyDescent="0.2">
      <c r="A478">
        <v>2001</v>
      </c>
      <c r="B478">
        <v>8</v>
      </c>
      <c r="C478">
        <v>26.4</v>
      </c>
      <c r="D478">
        <v>36.299999999999997</v>
      </c>
      <c r="E478">
        <v>19.600000000000001</v>
      </c>
      <c r="F478">
        <v>136.5</v>
      </c>
    </row>
    <row r="479" spans="1:6" x14ac:dyDescent="0.2">
      <c r="A479">
        <v>2001</v>
      </c>
      <c r="B479">
        <v>9</v>
      </c>
      <c r="C479">
        <v>23.2</v>
      </c>
      <c r="D479">
        <v>32.6</v>
      </c>
      <c r="E479">
        <v>13.2</v>
      </c>
      <c r="F479">
        <v>204</v>
      </c>
    </row>
    <row r="480" spans="1:6" x14ac:dyDescent="0.2">
      <c r="A480">
        <v>2001</v>
      </c>
      <c r="B480">
        <v>10</v>
      </c>
      <c r="C480">
        <v>18.7</v>
      </c>
      <c r="D480">
        <v>28.5</v>
      </c>
      <c r="E480">
        <v>11.3</v>
      </c>
      <c r="F480">
        <v>343</v>
      </c>
    </row>
    <row r="481" spans="1:6" x14ac:dyDescent="0.2">
      <c r="A481">
        <v>2001</v>
      </c>
      <c r="B481">
        <v>11</v>
      </c>
      <c r="C481">
        <v>13.1</v>
      </c>
      <c r="D481">
        <v>21.8</v>
      </c>
      <c r="E481">
        <v>6</v>
      </c>
      <c r="F481">
        <v>123.5</v>
      </c>
    </row>
    <row r="482" spans="1:6" x14ac:dyDescent="0.2">
      <c r="A482">
        <v>2001</v>
      </c>
      <c r="B482">
        <v>12</v>
      </c>
      <c r="C482">
        <v>8.4</v>
      </c>
      <c r="D482">
        <v>16.7</v>
      </c>
      <c r="E482">
        <v>0.9</v>
      </c>
      <c r="F482">
        <v>30</v>
      </c>
    </row>
    <row r="483" spans="1:6" x14ac:dyDescent="0.2">
      <c r="A483">
        <v>2002</v>
      </c>
      <c r="B483">
        <v>1</v>
      </c>
      <c r="C483">
        <v>7.4</v>
      </c>
      <c r="D483">
        <v>18.100000000000001</v>
      </c>
      <c r="E483">
        <v>-0.3</v>
      </c>
      <c r="F483">
        <v>98.5</v>
      </c>
    </row>
    <row r="484" spans="1:6" x14ac:dyDescent="0.2">
      <c r="A484">
        <v>2002</v>
      </c>
      <c r="B484">
        <v>2</v>
      </c>
      <c r="C484">
        <v>7.9</v>
      </c>
      <c r="D484">
        <v>17.7</v>
      </c>
      <c r="E484">
        <v>0.3</v>
      </c>
      <c r="F484">
        <v>25</v>
      </c>
    </row>
    <row r="485" spans="1:6" x14ac:dyDescent="0.2">
      <c r="A485">
        <v>2002</v>
      </c>
      <c r="B485">
        <v>3</v>
      </c>
      <c r="C485">
        <v>12.2</v>
      </c>
      <c r="D485">
        <v>23.9</v>
      </c>
      <c r="E485">
        <v>3.9</v>
      </c>
      <c r="F485">
        <v>82</v>
      </c>
    </row>
    <row r="486" spans="1:6" x14ac:dyDescent="0.2">
      <c r="A486">
        <v>2002</v>
      </c>
      <c r="B486">
        <v>4</v>
      </c>
      <c r="C486">
        <v>16.100000000000001</v>
      </c>
      <c r="D486">
        <v>28</v>
      </c>
      <c r="E486">
        <v>9.1</v>
      </c>
      <c r="F486">
        <v>58</v>
      </c>
    </row>
    <row r="487" spans="1:6" x14ac:dyDescent="0.2">
      <c r="A487">
        <v>2002</v>
      </c>
      <c r="B487">
        <v>5</v>
      </c>
      <c r="C487">
        <v>18.399999999999999</v>
      </c>
      <c r="D487">
        <v>27.5</v>
      </c>
      <c r="E487">
        <v>12.4</v>
      </c>
      <c r="F487">
        <v>112.5</v>
      </c>
    </row>
    <row r="488" spans="1:6" x14ac:dyDescent="0.2">
      <c r="A488">
        <v>2002</v>
      </c>
      <c r="B488">
        <v>6</v>
      </c>
      <c r="C488">
        <v>21.6</v>
      </c>
      <c r="D488">
        <v>31.1</v>
      </c>
      <c r="E488">
        <v>15.6</v>
      </c>
      <c r="F488">
        <v>151.5</v>
      </c>
    </row>
    <row r="489" spans="1:6" x14ac:dyDescent="0.2">
      <c r="A489">
        <v>2002</v>
      </c>
      <c r="B489">
        <v>7</v>
      </c>
      <c r="C489">
        <v>28</v>
      </c>
      <c r="D489">
        <v>34.799999999999997</v>
      </c>
      <c r="E489">
        <v>21.1</v>
      </c>
      <c r="F489">
        <v>124</v>
      </c>
    </row>
    <row r="490" spans="1:6" x14ac:dyDescent="0.2">
      <c r="A490">
        <v>2002</v>
      </c>
      <c r="B490">
        <v>8</v>
      </c>
      <c r="C490">
        <v>28</v>
      </c>
      <c r="D490">
        <v>35.799999999999997</v>
      </c>
      <c r="E490">
        <v>20.7</v>
      </c>
      <c r="F490">
        <v>120</v>
      </c>
    </row>
    <row r="491" spans="1:6" x14ac:dyDescent="0.2">
      <c r="A491">
        <v>2002</v>
      </c>
      <c r="B491">
        <v>9</v>
      </c>
      <c r="C491">
        <v>23.1</v>
      </c>
      <c r="D491">
        <v>33.9</v>
      </c>
      <c r="E491">
        <v>15.4</v>
      </c>
      <c r="F491">
        <v>207</v>
      </c>
    </row>
    <row r="492" spans="1:6" x14ac:dyDescent="0.2">
      <c r="A492">
        <v>2002</v>
      </c>
      <c r="B492">
        <v>10</v>
      </c>
      <c r="C492">
        <v>19</v>
      </c>
      <c r="D492">
        <v>29.4</v>
      </c>
      <c r="E492">
        <v>9.1</v>
      </c>
      <c r="F492">
        <v>194</v>
      </c>
    </row>
    <row r="493" spans="1:6" x14ac:dyDescent="0.2">
      <c r="A493">
        <v>2002</v>
      </c>
      <c r="B493">
        <v>11</v>
      </c>
      <c r="C493">
        <v>11.6</v>
      </c>
      <c r="D493">
        <v>20.399999999999999</v>
      </c>
      <c r="E493">
        <v>4.8</v>
      </c>
      <c r="F493">
        <v>27.5</v>
      </c>
    </row>
    <row r="494" spans="1:6" x14ac:dyDescent="0.2">
      <c r="A494">
        <v>2002</v>
      </c>
      <c r="B494">
        <v>12</v>
      </c>
      <c r="C494">
        <v>7.2</v>
      </c>
      <c r="D494">
        <v>18.7</v>
      </c>
      <c r="E494">
        <v>0</v>
      </c>
      <c r="F494">
        <v>94.5</v>
      </c>
    </row>
    <row r="495" spans="1:6" x14ac:dyDescent="0.2">
      <c r="A495">
        <v>2003</v>
      </c>
      <c r="B495">
        <v>1</v>
      </c>
      <c r="C495">
        <v>5.5</v>
      </c>
      <c r="D495">
        <v>13.8</v>
      </c>
      <c r="E495">
        <v>-0.8</v>
      </c>
      <c r="F495">
        <v>101</v>
      </c>
    </row>
    <row r="496" spans="1:6" x14ac:dyDescent="0.2">
      <c r="A496">
        <v>2003</v>
      </c>
      <c r="B496">
        <v>2</v>
      </c>
      <c r="C496">
        <v>6.4</v>
      </c>
      <c r="D496">
        <v>14.5</v>
      </c>
      <c r="E496">
        <v>0.9</v>
      </c>
      <c r="F496">
        <v>53.5</v>
      </c>
    </row>
    <row r="497" spans="1:6" x14ac:dyDescent="0.2">
      <c r="A497">
        <v>2003</v>
      </c>
      <c r="B497">
        <v>3</v>
      </c>
      <c r="C497">
        <v>8.6999999999999993</v>
      </c>
      <c r="D497">
        <v>20.399999999999999</v>
      </c>
      <c r="E497">
        <v>1.1000000000000001</v>
      </c>
      <c r="F497">
        <v>159.5</v>
      </c>
    </row>
    <row r="498" spans="1:6" x14ac:dyDescent="0.2">
      <c r="A498">
        <v>2003</v>
      </c>
      <c r="B498">
        <v>4</v>
      </c>
      <c r="C498">
        <v>15.1</v>
      </c>
      <c r="D498">
        <v>27.9</v>
      </c>
      <c r="E498">
        <v>5.6</v>
      </c>
      <c r="F498">
        <v>121</v>
      </c>
    </row>
    <row r="499" spans="1:6" x14ac:dyDescent="0.2">
      <c r="A499">
        <v>2003</v>
      </c>
      <c r="B499">
        <v>5</v>
      </c>
      <c r="C499">
        <v>18.8</v>
      </c>
      <c r="D499">
        <v>26.9</v>
      </c>
      <c r="E499">
        <v>10.5</v>
      </c>
      <c r="F499">
        <v>172.5</v>
      </c>
    </row>
    <row r="500" spans="1:6" x14ac:dyDescent="0.2">
      <c r="A500">
        <v>2003</v>
      </c>
      <c r="B500">
        <v>6</v>
      </c>
      <c r="C500">
        <v>23.2</v>
      </c>
      <c r="D500">
        <v>33.299999999999997</v>
      </c>
      <c r="E500">
        <v>16.399999999999999</v>
      </c>
      <c r="F500">
        <v>85</v>
      </c>
    </row>
    <row r="501" spans="1:6" x14ac:dyDescent="0.2">
      <c r="A501">
        <v>2003</v>
      </c>
      <c r="B501">
        <v>7</v>
      </c>
      <c r="C501">
        <v>22.8</v>
      </c>
      <c r="D501">
        <v>31.9</v>
      </c>
      <c r="E501">
        <v>17.7</v>
      </c>
      <c r="F501">
        <v>187.5</v>
      </c>
    </row>
    <row r="502" spans="1:6" x14ac:dyDescent="0.2">
      <c r="A502">
        <v>2003</v>
      </c>
      <c r="B502">
        <v>8</v>
      </c>
      <c r="C502">
        <v>26</v>
      </c>
      <c r="D502">
        <v>34.299999999999997</v>
      </c>
      <c r="E502">
        <v>18.399999999999999</v>
      </c>
      <c r="F502">
        <v>370</v>
      </c>
    </row>
    <row r="503" spans="1:6" x14ac:dyDescent="0.2">
      <c r="A503">
        <v>2003</v>
      </c>
      <c r="B503">
        <v>9</v>
      </c>
      <c r="C503">
        <v>24.2</v>
      </c>
      <c r="D503">
        <v>34.299999999999997</v>
      </c>
      <c r="E503">
        <v>13.9</v>
      </c>
      <c r="F503">
        <v>150</v>
      </c>
    </row>
    <row r="504" spans="1:6" x14ac:dyDescent="0.2">
      <c r="A504">
        <v>2003</v>
      </c>
      <c r="B504">
        <v>10</v>
      </c>
      <c r="C504">
        <v>17.8</v>
      </c>
      <c r="D504">
        <v>28.7</v>
      </c>
      <c r="E504">
        <v>12.1</v>
      </c>
      <c r="F504">
        <v>171.5</v>
      </c>
    </row>
    <row r="505" spans="1:6" x14ac:dyDescent="0.2">
      <c r="A505">
        <v>2003</v>
      </c>
      <c r="B505">
        <v>11</v>
      </c>
      <c r="C505">
        <v>14.4</v>
      </c>
      <c r="D505">
        <v>24.8</v>
      </c>
      <c r="E505">
        <v>7.3</v>
      </c>
      <c r="F505">
        <v>229.5</v>
      </c>
    </row>
    <row r="506" spans="1:6" x14ac:dyDescent="0.2">
      <c r="A506">
        <v>2003</v>
      </c>
      <c r="B506">
        <v>12</v>
      </c>
      <c r="C506">
        <v>9.1999999999999993</v>
      </c>
      <c r="D506">
        <v>19</v>
      </c>
      <c r="E506">
        <v>0.7</v>
      </c>
      <c r="F506">
        <v>53</v>
      </c>
    </row>
    <row r="507" spans="1:6" x14ac:dyDescent="0.2">
      <c r="A507">
        <v>2004</v>
      </c>
      <c r="B507">
        <v>1</v>
      </c>
      <c r="C507">
        <v>6.3</v>
      </c>
      <c r="D507">
        <v>14.2</v>
      </c>
      <c r="E507">
        <v>0.2</v>
      </c>
      <c r="F507">
        <v>3.5</v>
      </c>
    </row>
    <row r="508" spans="1:6" x14ac:dyDescent="0.2">
      <c r="A508">
        <v>2004</v>
      </c>
      <c r="B508">
        <v>2</v>
      </c>
      <c r="C508">
        <v>8.5</v>
      </c>
      <c r="D508">
        <v>21.6</v>
      </c>
      <c r="E508">
        <v>0.2</v>
      </c>
      <c r="F508">
        <v>20</v>
      </c>
    </row>
    <row r="509" spans="1:6" x14ac:dyDescent="0.2">
      <c r="A509">
        <v>2004</v>
      </c>
      <c r="B509">
        <v>3</v>
      </c>
      <c r="C509">
        <v>9.8000000000000007</v>
      </c>
      <c r="D509">
        <v>21.9</v>
      </c>
      <c r="E509">
        <v>1.6</v>
      </c>
      <c r="F509">
        <v>129.5</v>
      </c>
    </row>
    <row r="510" spans="1:6" x14ac:dyDescent="0.2">
      <c r="A510">
        <v>2004</v>
      </c>
      <c r="B510">
        <v>4</v>
      </c>
      <c r="C510">
        <v>16.399999999999999</v>
      </c>
      <c r="D510">
        <v>28.9</v>
      </c>
      <c r="E510">
        <v>3.1</v>
      </c>
      <c r="F510">
        <v>69.5</v>
      </c>
    </row>
    <row r="511" spans="1:6" x14ac:dyDescent="0.2">
      <c r="A511">
        <v>2004</v>
      </c>
      <c r="B511">
        <v>5</v>
      </c>
      <c r="C511">
        <v>19.600000000000001</v>
      </c>
      <c r="D511">
        <v>31.7</v>
      </c>
      <c r="E511">
        <v>10.5</v>
      </c>
      <c r="F511">
        <v>149</v>
      </c>
    </row>
    <row r="512" spans="1:6" x14ac:dyDescent="0.2">
      <c r="A512">
        <v>2004</v>
      </c>
      <c r="B512">
        <v>6</v>
      </c>
      <c r="C512">
        <v>23.7</v>
      </c>
      <c r="D512">
        <v>32.299999999999997</v>
      </c>
      <c r="E512">
        <v>16.3</v>
      </c>
      <c r="F512">
        <v>112.5</v>
      </c>
    </row>
    <row r="513" spans="1:6" x14ac:dyDescent="0.2">
      <c r="A513">
        <v>2004</v>
      </c>
      <c r="B513">
        <v>7</v>
      </c>
      <c r="C513">
        <v>28.5</v>
      </c>
      <c r="D513">
        <v>39.5</v>
      </c>
      <c r="E513">
        <v>19.100000000000001</v>
      </c>
      <c r="F513">
        <v>23.5</v>
      </c>
    </row>
    <row r="514" spans="1:6" x14ac:dyDescent="0.2">
      <c r="A514">
        <v>2004</v>
      </c>
      <c r="B514">
        <v>8</v>
      </c>
      <c r="C514">
        <v>27.2</v>
      </c>
      <c r="D514">
        <v>36.5</v>
      </c>
      <c r="E514">
        <v>18.100000000000001</v>
      </c>
      <c r="F514">
        <v>79.5</v>
      </c>
    </row>
    <row r="515" spans="1:6" x14ac:dyDescent="0.2">
      <c r="A515">
        <v>2004</v>
      </c>
      <c r="B515">
        <v>9</v>
      </c>
      <c r="C515">
        <v>25.1</v>
      </c>
      <c r="D515">
        <v>33.6</v>
      </c>
      <c r="E515">
        <v>18.399999999999999</v>
      </c>
      <c r="F515">
        <v>195</v>
      </c>
    </row>
    <row r="516" spans="1:6" x14ac:dyDescent="0.2">
      <c r="A516">
        <v>2004</v>
      </c>
      <c r="B516">
        <v>10</v>
      </c>
      <c r="C516">
        <v>17.5</v>
      </c>
      <c r="D516">
        <v>28.2</v>
      </c>
      <c r="E516">
        <v>8.6</v>
      </c>
      <c r="F516">
        <v>780</v>
      </c>
    </row>
    <row r="517" spans="1:6" x14ac:dyDescent="0.2">
      <c r="A517">
        <v>2004</v>
      </c>
      <c r="B517">
        <v>11</v>
      </c>
      <c r="C517">
        <v>15.6</v>
      </c>
      <c r="D517">
        <v>23.2</v>
      </c>
      <c r="E517">
        <v>8.3000000000000007</v>
      </c>
      <c r="F517">
        <v>108.5</v>
      </c>
    </row>
    <row r="518" spans="1:6" x14ac:dyDescent="0.2">
      <c r="A518">
        <v>2004</v>
      </c>
      <c r="B518">
        <v>12</v>
      </c>
      <c r="C518">
        <v>9.9</v>
      </c>
      <c r="D518">
        <v>24.8</v>
      </c>
      <c r="E518">
        <v>0.2</v>
      </c>
      <c r="F518">
        <v>79.5</v>
      </c>
    </row>
    <row r="519" spans="1:6" x14ac:dyDescent="0.2">
      <c r="A519">
        <v>2005</v>
      </c>
      <c r="B519">
        <v>1</v>
      </c>
      <c r="C519">
        <v>6.1</v>
      </c>
      <c r="D519">
        <v>18.5</v>
      </c>
      <c r="E519">
        <v>-0.8</v>
      </c>
      <c r="F519">
        <v>77</v>
      </c>
    </row>
    <row r="520" spans="1:6" x14ac:dyDescent="0.2">
      <c r="A520">
        <v>2005</v>
      </c>
      <c r="B520">
        <v>2</v>
      </c>
      <c r="C520">
        <v>6.2</v>
      </c>
      <c r="D520">
        <v>19.399999999999999</v>
      </c>
      <c r="E520">
        <v>-0.3</v>
      </c>
      <c r="F520">
        <v>48</v>
      </c>
    </row>
    <row r="521" spans="1:6" x14ac:dyDescent="0.2">
      <c r="A521">
        <v>2005</v>
      </c>
      <c r="B521">
        <v>3</v>
      </c>
      <c r="C521">
        <v>9</v>
      </c>
      <c r="D521">
        <v>19.3</v>
      </c>
      <c r="E521">
        <v>0.5</v>
      </c>
      <c r="F521">
        <v>71</v>
      </c>
    </row>
    <row r="522" spans="1:6" x14ac:dyDescent="0.2">
      <c r="A522">
        <v>2005</v>
      </c>
      <c r="B522">
        <v>4</v>
      </c>
      <c r="C522">
        <v>15.1</v>
      </c>
      <c r="D522">
        <v>28.1</v>
      </c>
      <c r="E522">
        <v>4.5999999999999996</v>
      </c>
      <c r="F522">
        <v>81</v>
      </c>
    </row>
    <row r="523" spans="1:6" x14ac:dyDescent="0.2">
      <c r="A523">
        <v>2005</v>
      </c>
      <c r="B523">
        <v>5</v>
      </c>
      <c r="C523">
        <v>17.7</v>
      </c>
      <c r="D523">
        <v>27.2</v>
      </c>
      <c r="E523">
        <v>9.3000000000000007</v>
      </c>
      <c r="F523">
        <v>180.5</v>
      </c>
    </row>
    <row r="524" spans="1:6" x14ac:dyDescent="0.2">
      <c r="A524">
        <v>2005</v>
      </c>
      <c r="B524">
        <v>6</v>
      </c>
      <c r="C524">
        <v>23.2</v>
      </c>
      <c r="D524">
        <v>36.200000000000003</v>
      </c>
      <c r="E524">
        <v>16.2</v>
      </c>
      <c r="F524">
        <v>170.5</v>
      </c>
    </row>
    <row r="525" spans="1:6" x14ac:dyDescent="0.2">
      <c r="A525">
        <v>2005</v>
      </c>
      <c r="B525">
        <v>7</v>
      </c>
      <c r="C525">
        <v>25.6</v>
      </c>
      <c r="D525">
        <v>35.6</v>
      </c>
      <c r="E525">
        <v>18.5</v>
      </c>
      <c r="F525">
        <v>247.5</v>
      </c>
    </row>
    <row r="526" spans="1:6" x14ac:dyDescent="0.2">
      <c r="A526">
        <v>2005</v>
      </c>
      <c r="B526">
        <v>8</v>
      </c>
      <c r="C526">
        <v>28.1</v>
      </c>
      <c r="D526">
        <v>35.799999999999997</v>
      </c>
      <c r="E526">
        <v>21.9</v>
      </c>
      <c r="F526">
        <v>189.5</v>
      </c>
    </row>
    <row r="527" spans="1:6" x14ac:dyDescent="0.2">
      <c r="A527">
        <v>2005</v>
      </c>
      <c r="B527">
        <v>9</v>
      </c>
      <c r="C527">
        <v>24.7</v>
      </c>
      <c r="D527">
        <v>33.1</v>
      </c>
      <c r="E527">
        <v>16.899999999999999</v>
      </c>
      <c r="F527">
        <v>177.5</v>
      </c>
    </row>
    <row r="528" spans="1:6" x14ac:dyDescent="0.2">
      <c r="A528">
        <v>2005</v>
      </c>
      <c r="B528">
        <v>10</v>
      </c>
      <c r="C528">
        <v>19.2</v>
      </c>
      <c r="D528">
        <v>31.7</v>
      </c>
      <c r="E528">
        <v>12.7</v>
      </c>
      <c r="F528">
        <v>201.5</v>
      </c>
    </row>
    <row r="529" spans="1:6" x14ac:dyDescent="0.2">
      <c r="A529">
        <v>2005</v>
      </c>
      <c r="B529">
        <v>11</v>
      </c>
      <c r="C529">
        <v>13.3</v>
      </c>
      <c r="D529">
        <v>24.1</v>
      </c>
      <c r="E529">
        <v>5.2</v>
      </c>
      <c r="F529">
        <v>34.5</v>
      </c>
    </row>
    <row r="530" spans="1:6" x14ac:dyDescent="0.2">
      <c r="A530">
        <v>2005</v>
      </c>
      <c r="B530">
        <v>12</v>
      </c>
      <c r="C530">
        <v>6.4</v>
      </c>
      <c r="D530">
        <v>15.9</v>
      </c>
      <c r="E530">
        <v>-0.8</v>
      </c>
      <c r="F530">
        <v>3.5</v>
      </c>
    </row>
    <row r="531" spans="1:6" x14ac:dyDescent="0.2">
      <c r="A531">
        <v>2006</v>
      </c>
      <c r="B531">
        <v>1</v>
      </c>
      <c r="C531">
        <v>5.0999999999999996</v>
      </c>
      <c r="D531">
        <v>14.7</v>
      </c>
      <c r="E531">
        <v>-1.1000000000000001</v>
      </c>
      <c r="F531">
        <v>67</v>
      </c>
    </row>
    <row r="532" spans="1:6" x14ac:dyDescent="0.2">
      <c r="A532">
        <v>2006</v>
      </c>
      <c r="B532">
        <v>2</v>
      </c>
      <c r="C532">
        <v>6.7</v>
      </c>
      <c r="D532">
        <v>19.899999999999999</v>
      </c>
      <c r="E532">
        <v>-1.5</v>
      </c>
      <c r="F532">
        <v>113</v>
      </c>
    </row>
    <row r="533" spans="1:6" x14ac:dyDescent="0.2">
      <c r="A533">
        <v>2006</v>
      </c>
      <c r="B533">
        <v>3</v>
      </c>
      <c r="C533">
        <v>9.8000000000000007</v>
      </c>
      <c r="D533">
        <v>19</v>
      </c>
      <c r="E533">
        <v>1.5</v>
      </c>
      <c r="F533">
        <v>79.5</v>
      </c>
    </row>
    <row r="534" spans="1:6" x14ac:dyDescent="0.2">
      <c r="A534">
        <v>2006</v>
      </c>
      <c r="B534">
        <v>4</v>
      </c>
      <c r="C534">
        <v>13.6</v>
      </c>
      <c r="D534">
        <v>22.4</v>
      </c>
      <c r="E534">
        <v>6.3</v>
      </c>
      <c r="F534">
        <v>123</v>
      </c>
    </row>
    <row r="535" spans="1:6" x14ac:dyDescent="0.2">
      <c r="A535">
        <v>2006</v>
      </c>
      <c r="B535">
        <v>5</v>
      </c>
      <c r="C535">
        <v>19</v>
      </c>
      <c r="D535">
        <v>29.4</v>
      </c>
      <c r="E535">
        <v>9.1999999999999993</v>
      </c>
      <c r="F535">
        <v>99</v>
      </c>
    </row>
    <row r="536" spans="1:6" x14ac:dyDescent="0.2">
      <c r="A536">
        <v>2006</v>
      </c>
      <c r="B536">
        <v>6</v>
      </c>
      <c r="C536">
        <v>22.5</v>
      </c>
      <c r="D536">
        <v>31.5</v>
      </c>
      <c r="E536">
        <v>15.5</v>
      </c>
      <c r="F536">
        <v>138.5</v>
      </c>
    </row>
    <row r="537" spans="1:6" x14ac:dyDescent="0.2">
      <c r="A537">
        <v>2006</v>
      </c>
      <c r="B537">
        <v>7</v>
      </c>
      <c r="C537">
        <v>25.6</v>
      </c>
      <c r="D537">
        <v>36.1</v>
      </c>
      <c r="E537">
        <v>20.3</v>
      </c>
      <c r="F537">
        <v>165</v>
      </c>
    </row>
    <row r="538" spans="1:6" x14ac:dyDescent="0.2">
      <c r="A538">
        <v>2006</v>
      </c>
      <c r="B538">
        <v>8</v>
      </c>
      <c r="C538">
        <v>27.5</v>
      </c>
      <c r="D538">
        <v>35.4</v>
      </c>
      <c r="E538">
        <v>20.2</v>
      </c>
      <c r="F538">
        <v>126</v>
      </c>
    </row>
    <row r="539" spans="1:6" x14ac:dyDescent="0.2">
      <c r="A539">
        <v>2006</v>
      </c>
      <c r="B539">
        <v>9</v>
      </c>
      <c r="C539">
        <v>23.5</v>
      </c>
      <c r="D539">
        <v>34.799999999999997</v>
      </c>
      <c r="E539">
        <v>16.600000000000001</v>
      </c>
      <c r="F539">
        <v>175.5</v>
      </c>
    </row>
    <row r="540" spans="1:6" x14ac:dyDescent="0.2">
      <c r="A540">
        <v>2006</v>
      </c>
      <c r="B540">
        <v>10</v>
      </c>
      <c r="C540">
        <v>19.5</v>
      </c>
      <c r="D540">
        <v>27</v>
      </c>
      <c r="E540">
        <v>12.1</v>
      </c>
      <c r="F540">
        <v>318</v>
      </c>
    </row>
    <row r="541" spans="1:6" x14ac:dyDescent="0.2">
      <c r="A541">
        <v>2006</v>
      </c>
      <c r="B541">
        <v>11</v>
      </c>
      <c r="C541">
        <v>14.4</v>
      </c>
      <c r="D541">
        <v>24.9</v>
      </c>
      <c r="E541">
        <v>5.8</v>
      </c>
      <c r="F541">
        <v>135</v>
      </c>
    </row>
    <row r="542" spans="1:6" x14ac:dyDescent="0.2">
      <c r="A542">
        <v>2006</v>
      </c>
      <c r="B542">
        <v>12</v>
      </c>
      <c r="C542">
        <v>9.5</v>
      </c>
      <c r="D542">
        <v>20.3</v>
      </c>
      <c r="E542">
        <v>3.7</v>
      </c>
      <c r="F542">
        <v>200.5</v>
      </c>
    </row>
    <row r="543" spans="1:6" x14ac:dyDescent="0.2">
      <c r="A543">
        <v>2007</v>
      </c>
      <c r="B543">
        <v>1</v>
      </c>
      <c r="C543">
        <v>7.6</v>
      </c>
      <c r="D543">
        <v>15</v>
      </c>
      <c r="E543">
        <v>2</v>
      </c>
      <c r="F543">
        <v>42</v>
      </c>
    </row>
    <row r="544" spans="1:6" x14ac:dyDescent="0.2">
      <c r="A544">
        <v>2007</v>
      </c>
      <c r="B544">
        <v>2</v>
      </c>
      <c r="C544">
        <v>8.6</v>
      </c>
      <c r="D544">
        <v>17.3</v>
      </c>
      <c r="E544">
        <v>0.2</v>
      </c>
      <c r="F544">
        <v>57</v>
      </c>
    </row>
    <row r="545" spans="1:6" x14ac:dyDescent="0.2">
      <c r="A545">
        <v>2007</v>
      </c>
      <c r="B545">
        <v>3</v>
      </c>
      <c r="C545">
        <v>10.8</v>
      </c>
      <c r="D545">
        <v>24.1</v>
      </c>
      <c r="E545">
        <v>2.6</v>
      </c>
      <c r="F545">
        <v>77</v>
      </c>
    </row>
    <row r="546" spans="1:6" x14ac:dyDescent="0.2">
      <c r="A546">
        <v>2007</v>
      </c>
      <c r="B546">
        <v>4</v>
      </c>
      <c r="C546">
        <v>13.7</v>
      </c>
      <c r="D546">
        <v>25.8</v>
      </c>
      <c r="E546">
        <v>4</v>
      </c>
      <c r="F546">
        <v>134</v>
      </c>
    </row>
    <row r="547" spans="1:6" x14ac:dyDescent="0.2">
      <c r="A547">
        <v>2007</v>
      </c>
      <c r="B547">
        <v>5</v>
      </c>
      <c r="C547">
        <v>19.8</v>
      </c>
      <c r="D547">
        <v>29</v>
      </c>
      <c r="E547">
        <v>13</v>
      </c>
      <c r="F547">
        <v>115.5</v>
      </c>
    </row>
    <row r="548" spans="1:6" x14ac:dyDescent="0.2">
      <c r="A548">
        <v>2007</v>
      </c>
      <c r="B548">
        <v>6</v>
      </c>
      <c r="C548">
        <v>23.2</v>
      </c>
      <c r="D548">
        <v>31.5</v>
      </c>
      <c r="E548">
        <v>15.7</v>
      </c>
      <c r="F548">
        <v>80</v>
      </c>
    </row>
    <row r="549" spans="1:6" x14ac:dyDescent="0.2">
      <c r="A549">
        <v>2007</v>
      </c>
      <c r="B549">
        <v>7</v>
      </c>
      <c r="C549">
        <v>24.4</v>
      </c>
      <c r="D549">
        <v>32.700000000000003</v>
      </c>
      <c r="E549">
        <v>18.2</v>
      </c>
      <c r="F549">
        <v>253</v>
      </c>
    </row>
    <row r="550" spans="1:6" x14ac:dyDescent="0.2">
      <c r="A550">
        <v>2007</v>
      </c>
      <c r="B550">
        <v>8</v>
      </c>
      <c r="C550">
        <v>29</v>
      </c>
      <c r="D550">
        <v>37.5</v>
      </c>
      <c r="E550">
        <v>23.1</v>
      </c>
      <c r="F550">
        <v>9.5</v>
      </c>
    </row>
    <row r="551" spans="1:6" x14ac:dyDescent="0.2">
      <c r="A551">
        <v>2007</v>
      </c>
      <c r="B551">
        <v>9</v>
      </c>
      <c r="C551">
        <v>25.2</v>
      </c>
      <c r="D551">
        <v>32.9</v>
      </c>
      <c r="E551">
        <v>15.7</v>
      </c>
      <c r="F551">
        <v>319.5</v>
      </c>
    </row>
    <row r="552" spans="1:6" x14ac:dyDescent="0.2">
      <c r="A552">
        <v>2007</v>
      </c>
      <c r="B552">
        <v>10</v>
      </c>
      <c r="C552">
        <v>19</v>
      </c>
      <c r="D552">
        <v>26.5</v>
      </c>
      <c r="E552">
        <v>12.8</v>
      </c>
      <c r="F552">
        <v>135.5</v>
      </c>
    </row>
    <row r="553" spans="1:6" x14ac:dyDescent="0.2">
      <c r="A553">
        <v>2007</v>
      </c>
      <c r="B553">
        <v>11</v>
      </c>
      <c r="C553">
        <v>13.3</v>
      </c>
      <c r="D553">
        <v>21.2</v>
      </c>
      <c r="E553">
        <v>4.5999999999999996</v>
      </c>
      <c r="F553">
        <v>37</v>
      </c>
    </row>
    <row r="554" spans="1:6" x14ac:dyDescent="0.2">
      <c r="A554">
        <v>2007</v>
      </c>
      <c r="B554">
        <v>12</v>
      </c>
      <c r="C554">
        <v>9</v>
      </c>
      <c r="D554">
        <v>15.8</v>
      </c>
      <c r="E554">
        <v>2.7</v>
      </c>
      <c r="F554">
        <v>72</v>
      </c>
    </row>
    <row r="555" spans="1:6" x14ac:dyDescent="0.2">
      <c r="A555">
        <v>2008</v>
      </c>
      <c r="B555">
        <v>1</v>
      </c>
      <c r="C555">
        <v>5.9</v>
      </c>
      <c r="D555">
        <v>13.9</v>
      </c>
      <c r="E555">
        <v>0.8</v>
      </c>
      <c r="F555">
        <v>17.5</v>
      </c>
    </row>
    <row r="556" spans="1:6" x14ac:dyDescent="0.2">
      <c r="A556">
        <v>2008</v>
      </c>
      <c r="B556">
        <v>2</v>
      </c>
      <c r="C556">
        <v>5.5</v>
      </c>
      <c r="D556">
        <v>17</v>
      </c>
      <c r="E556">
        <v>-0.1</v>
      </c>
      <c r="F556">
        <v>57</v>
      </c>
    </row>
    <row r="557" spans="1:6" x14ac:dyDescent="0.2">
      <c r="A557">
        <v>2008</v>
      </c>
      <c r="B557">
        <v>3</v>
      </c>
      <c r="C557">
        <v>10.7</v>
      </c>
      <c r="D557">
        <v>20.399999999999999</v>
      </c>
      <c r="E557">
        <v>2.8</v>
      </c>
      <c r="F557">
        <v>119.5</v>
      </c>
    </row>
    <row r="558" spans="1:6" x14ac:dyDescent="0.2">
      <c r="A558">
        <v>2008</v>
      </c>
      <c r="B558">
        <v>4</v>
      </c>
      <c r="C558">
        <v>14.7</v>
      </c>
      <c r="D558">
        <v>25.8</v>
      </c>
      <c r="E558">
        <v>6.5</v>
      </c>
      <c r="F558">
        <v>240</v>
      </c>
    </row>
    <row r="559" spans="1:6" x14ac:dyDescent="0.2">
      <c r="A559">
        <v>2008</v>
      </c>
      <c r="B559">
        <v>5</v>
      </c>
      <c r="C559">
        <v>18.5</v>
      </c>
      <c r="D559">
        <v>29</v>
      </c>
      <c r="E559">
        <v>9.1999999999999993</v>
      </c>
      <c r="F559">
        <v>255</v>
      </c>
    </row>
    <row r="560" spans="1:6" x14ac:dyDescent="0.2">
      <c r="A560">
        <v>2008</v>
      </c>
      <c r="B560">
        <v>6</v>
      </c>
      <c r="C560">
        <v>21.3</v>
      </c>
      <c r="D560">
        <v>29.1</v>
      </c>
      <c r="E560">
        <v>13.4</v>
      </c>
      <c r="F560">
        <v>225.5</v>
      </c>
    </row>
    <row r="561" spans="1:6" x14ac:dyDescent="0.2">
      <c r="A561">
        <v>2008</v>
      </c>
      <c r="B561">
        <v>7</v>
      </c>
      <c r="C561">
        <v>27</v>
      </c>
      <c r="D561">
        <v>34.5</v>
      </c>
      <c r="E561">
        <v>18.600000000000001</v>
      </c>
      <c r="F561">
        <v>48</v>
      </c>
    </row>
    <row r="562" spans="1:6" x14ac:dyDescent="0.2">
      <c r="A562">
        <v>2008</v>
      </c>
      <c r="B562">
        <v>8</v>
      </c>
      <c r="C562">
        <v>26.8</v>
      </c>
      <c r="D562">
        <v>35.299999999999997</v>
      </c>
      <c r="E562">
        <v>19.600000000000001</v>
      </c>
      <c r="F562">
        <v>387.5</v>
      </c>
    </row>
    <row r="563" spans="1:6" x14ac:dyDescent="0.2">
      <c r="A563">
        <v>2008</v>
      </c>
      <c r="B563">
        <v>9</v>
      </c>
      <c r="C563">
        <v>24.4</v>
      </c>
      <c r="D563">
        <v>32.299999999999997</v>
      </c>
      <c r="E563">
        <v>15.4</v>
      </c>
      <c r="F563">
        <v>158.5</v>
      </c>
    </row>
    <row r="564" spans="1:6" x14ac:dyDescent="0.2">
      <c r="A564">
        <v>2008</v>
      </c>
      <c r="B564">
        <v>10</v>
      </c>
      <c r="C564">
        <v>19.399999999999999</v>
      </c>
      <c r="D564">
        <v>25.2</v>
      </c>
      <c r="E564">
        <v>11.5</v>
      </c>
      <c r="F564">
        <v>204.5</v>
      </c>
    </row>
    <row r="565" spans="1:6" x14ac:dyDescent="0.2">
      <c r="A565">
        <v>2008</v>
      </c>
      <c r="B565">
        <v>11</v>
      </c>
      <c r="C565">
        <v>13.1</v>
      </c>
      <c r="D565">
        <v>22.3</v>
      </c>
      <c r="E565">
        <v>5.5</v>
      </c>
      <c r="F565">
        <v>74</v>
      </c>
    </row>
    <row r="566" spans="1:6" x14ac:dyDescent="0.2">
      <c r="A566">
        <v>2008</v>
      </c>
      <c r="B566">
        <v>12</v>
      </c>
      <c r="C566">
        <v>9.8000000000000007</v>
      </c>
      <c r="D566">
        <v>19.899999999999999</v>
      </c>
      <c r="E566">
        <v>1.8</v>
      </c>
      <c r="F566">
        <v>70.5</v>
      </c>
    </row>
    <row r="567" spans="1:6" x14ac:dyDescent="0.2">
      <c r="A567">
        <v>2009</v>
      </c>
      <c r="B567">
        <v>1</v>
      </c>
      <c r="C567">
        <v>6.8</v>
      </c>
      <c r="D567">
        <v>15.3</v>
      </c>
      <c r="E567">
        <v>0</v>
      </c>
      <c r="F567">
        <v>142</v>
      </c>
    </row>
    <row r="568" spans="1:6" x14ac:dyDescent="0.2">
      <c r="A568">
        <v>2009</v>
      </c>
      <c r="B568">
        <v>2</v>
      </c>
      <c r="C568">
        <v>7.8</v>
      </c>
      <c r="D568">
        <v>23.9</v>
      </c>
      <c r="E568">
        <v>1.4</v>
      </c>
      <c r="F568">
        <v>46.5</v>
      </c>
    </row>
    <row r="569" spans="1:6" x14ac:dyDescent="0.2">
      <c r="A569">
        <v>2009</v>
      </c>
      <c r="B569">
        <v>3</v>
      </c>
      <c r="C569">
        <v>10</v>
      </c>
      <c r="D569">
        <v>23.2</v>
      </c>
      <c r="E569">
        <v>1.1000000000000001</v>
      </c>
      <c r="F569">
        <v>98.5</v>
      </c>
    </row>
    <row r="570" spans="1:6" x14ac:dyDescent="0.2">
      <c r="A570">
        <v>2009</v>
      </c>
      <c r="B570">
        <v>4</v>
      </c>
      <c r="C570">
        <v>15.7</v>
      </c>
      <c r="D570">
        <v>26.1</v>
      </c>
      <c r="E570">
        <v>5.4</v>
      </c>
      <c r="F570">
        <v>162.5</v>
      </c>
    </row>
    <row r="571" spans="1:6" x14ac:dyDescent="0.2">
      <c r="A571">
        <v>2009</v>
      </c>
      <c r="B571">
        <v>5</v>
      </c>
      <c r="C571">
        <v>20.100000000000001</v>
      </c>
      <c r="D571">
        <v>29.3</v>
      </c>
      <c r="E571">
        <v>12.6</v>
      </c>
      <c r="F571">
        <v>242</v>
      </c>
    </row>
    <row r="572" spans="1:6" x14ac:dyDescent="0.2">
      <c r="A572">
        <v>2009</v>
      </c>
      <c r="B572">
        <v>6</v>
      </c>
      <c r="C572">
        <v>22.5</v>
      </c>
      <c r="D572">
        <v>31.9</v>
      </c>
      <c r="E572">
        <v>15.5</v>
      </c>
      <c r="F572">
        <v>226</v>
      </c>
    </row>
    <row r="573" spans="1:6" x14ac:dyDescent="0.2">
      <c r="A573">
        <v>2009</v>
      </c>
      <c r="B573">
        <v>7</v>
      </c>
      <c r="C573">
        <v>26.3</v>
      </c>
      <c r="D573">
        <v>34.200000000000003</v>
      </c>
      <c r="E573">
        <v>20.2</v>
      </c>
      <c r="F573">
        <v>78.5</v>
      </c>
    </row>
    <row r="574" spans="1:6" x14ac:dyDescent="0.2">
      <c r="A574">
        <v>2009</v>
      </c>
      <c r="B574">
        <v>8</v>
      </c>
      <c r="C574">
        <v>26.6</v>
      </c>
      <c r="D574">
        <v>33.200000000000003</v>
      </c>
      <c r="E574">
        <v>17.600000000000001</v>
      </c>
      <c r="F574">
        <v>242</v>
      </c>
    </row>
    <row r="575" spans="1:6" x14ac:dyDescent="0.2">
      <c r="A575">
        <v>2009</v>
      </c>
      <c r="B575">
        <v>9</v>
      </c>
      <c r="C575">
        <v>23</v>
      </c>
      <c r="D575">
        <v>31.5</v>
      </c>
      <c r="E575">
        <v>17.7</v>
      </c>
      <c r="F575">
        <v>53</v>
      </c>
    </row>
    <row r="576" spans="1:6" x14ac:dyDescent="0.2">
      <c r="A576">
        <v>2009</v>
      </c>
      <c r="B576">
        <v>10</v>
      </c>
      <c r="C576">
        <v>19</v>
      </c>
      <c r="D576">
        <v>27.1</v>
      </c>
      <c r="E576">
        <v>12.7</v>
      </c>
      <c r="F576">
        <v>276.5</v>
      </c>
    </row>
    <row r="577" spans="1:6" x14ac:dyDescent="0.2">
      <c r="A577">
        <v>2009</v>
      </c>
      <c r="B577">
        <v>11</v>
      </c>
      <c r="C577">
        <v>13.5</v>
      </c>
      <c r="D577">
        <v>25.9</v>
      </c>
      <c r="E577">
        <v>5.5</v>
      </c>
      <c r="F577">
        <v>151.5</v>
      </c>
    </row>
    <row r="578" spans="1:6" x14ac:dyDescent="0.2">
      <c r="A578">
        <v>2009</v>
      </c>
      <c r="B578">
        <v>12</v>
      </c>
      <c r="C578">
        <v>9</v>
      </c>
      <c r="D578">
        <v>17.399999999999999</v>
      </c>
      <c r="E578">
        <v>1.1000000000000001</v>
      </c>
      <c r="F578">
        <v>82.5</v>
      </c>
    </row>
    <row r="579" spans="1:6" x14ac:dyDescent="0.2">
      <c r="A579">
        <v>2010</v>
      </c>
      <c r="B579">
        <v>1</v>
      </c>
      <c r="C579">
        <v>7</v>
      </c>
      <c r="D579">
        <v>18</v>
      </c>
      <c r="E579">
        <v>-0.3</v>
      </c>
      <c r="F579">
        <v>9</v>
      </c>
    </row>
    <row r="580" spans="1:6" x14ac:dyDescent="0.2">
      <c r="A580">
        <v>2010</v>
      </c>
      <c r="B580">
        <v>2</v>
      </c>
      <c r="C580">
        <v>6.5</v>
      </c>
      <c r="D580">
        <v>21</v>
      </c>
      <c r="E580">
        <v>-0.4</v>
      </c>
      <c r="F580">
        <v>115</v>
      </c>
    </row>
    <row r="581" spans="1:6" x14ac:dyDescent="0.2">
      <c r="A581">
        <v>2010</v>
      </c>
      <c r="B581">
        <v>3</v>
      </c>
      <c r="C581">
        <v>9.1</v>
      </c>
      <c r="D581">
        <v>21.6</v>
      </c>
      <c r="E581">
        <v>0.9</v>
      </c>
      <c r="F581">
        <v>143.5</v>
      </c>
    </row>
    <row r="582" spans="1:6" x14ac:dyDescent="0.2">
      <c r="A582">
        <v>2010</v>
      </c>
      <c r="B582">
        <v>4</v>
      </c>
      <c r="C582">
        <v>12.4</v>
      </c>
      <c r="D582">
        <v>25.5</v>
      </c>
      <c r="E582">
        <v>1.4</v>
      </c>
      <c r="F582">
        <v>214</v>
      </c>
    </row>
    <row r="583" spans="1:6" x14ac:dyDescent="0.2">
      <c r="A583">
        <v>2010</v>
      </c>
      <c r="B583">
        <v>5</v>
      </c>
      <c r="C583">
        <v>19</v>
      </c>
      <c r="D583">
        <v>30.9</v>
      </c>
      <c r="E583">
        <v>11.4</v>
      </c>
      <c r="F583">
        <v>114</v>
      </c>
    </row>
    <row r="584" spans="1:6" x14ac:dyDescent="0.2">
      <c r="A584">
        <v>2010</v>
      </c>
      <c r="B584">
        <v>6</v>
      </c>
      <c r="C584">
        <v>23.6</v>
      </c>
      <c r="D584">
        <v>31.8</v>
      </c>
      <c r="E584">
        <v>13.4</v>
      </c>
      <c r="F584">
        <v>108</v>
      </c>
    </row>
    <row r="585" spans="1:6" x14ac:dyDescent="0.2">
      <c r="A585">
        <v>2010</v>
      </c>
      <c r="B585">
        <v>7</v>
      </c>
      <c r="C585">
        <v>28</v>
      </c>
      <c r="D585">
        <v>36.299999999999997</v>
      </c>
      <c r="E585">
        <v>19.899999999999999</v>
      </c>
      <c r="F585">
        <v>70</v>
      </c>
    </row>
    <row r="586" spans="1:6" x14ac:dyDescent="0.2">
      <c r="A586">
        <v>2010</v>
      </c>
      <c r="B586">
        <v>8</v>
      </c>
      <c r="C586">
        <v>29.6</v>
      </c>
      <c r="D586">
        <v>37.200000000000003</v>
      </c>
      <c r="E586">
        <v>23.6</v>
      </c>
      <c r="F586">
        <v>27</v>
      </c>
    </row>
    <row r="587" spans="1:6" x14ac:dyDescent="0.2">
      <c r="A587">
        <v>2010</v>
      </c>
      <c r="B587">
        <v>9</v>
      </c>
      <c r="C587">
        <v>25.1</v>
      </c>
      <c r="D587">
        <v>35.9</v>
      </c>
      <c r="E587">
        <v>13.9</v>
      </c>
      <c r="F587">
        <v>428</v>
      </c>
    </row>
    <row r="588" spans="1:6" x14ac:dyDescent="0.2">
      <c r="A588">
        <v>2010</v>
      </c>
      <c r="B588">
        <v>10</v>
      </c>
      <c r="C588">
        <v>18.899999999999999</v>
      </c>
      <c r="D588">
        <v>28.3</v>
      </c>
      <c r="E588">
        <v>9.3000000000000007</v>
      </c>
      <c r="F588">
        <v>211</v>
      </c>
    </row>
    <row r="589" spans="1:6" x14ac:dyDescent="0.2">
      <c r="A589">
        <v>2010</v>
      </c>
      <c r="B589">
        <v>11</v>
      </c>
      <c r="C589">
        <v>13.5</v>
      </c>
      <c r="D589">
        <v>22.4</v>
      </c>
      <c r="E589">
        <v>7</v>
      </c>
      <c r="F589">
        <v>94.5</v>
      </c>
    </row>
    <row r="590" spans="1:6" x14ac:dyDescent="0.2">
      <c r="A590">
        <v>2010</v>
      </c>
      <c r="B590">
        <v>12</v>
      </c>
      <c r="C590">
        <v>9.9</v>
      </c>
      <c r="D590">
        <v>23.7</v>
      </c>
      <c r="E590">
        <v>2.1</v>
      </c>
      <c r="F590">
        <v>145.5</v>
      </c>
    </row>
    <row r="591" spans="1:6" x14ac:dyDescent="0.2">
      <c r="A591">
        <v>2011</v>
      </c>
      <c r="B591">
        <v>1</v>
      </c>
      <c r="C591">
        <v>5.0999999999999996</v>
      </c>
      <c r="D591">
        <v>12.2</v>
      </c>
      <c r="E591">
        <v>-1.1000000000000001</v>
      </c>
      <c r="F591">
        <v>3.5</v>
      </c>
    </row>
    <row r="592" spans="1:6" x14ac:dyDescent="0.2">
      <c r="A592">
        <v>2011</v>
      </c>
      <c r="B592">
        <v>2</v>
      </c>
      <c r="C592">
        <v>7</v>
      </c>
      <c r="D592">
        <v>20.8</v>
      </c>
      <c r="E592">
        <v>-0.8</v>
      </c>
      <c r="F592">
        <v>151</v>
      </c>
    </row>
    <row r="593" spans="1:6" x14ac:dyDescent="0.2">
      <c r="A593">
        <v>2011</v>
      </c>
      <c r="B593">
        <v>3</v>
      </c>
      <c r="C593">
        <v>8.1</v>
      </c>
      <c r="D593">
        <v>20.2</v>
      </c>
      <c r="E593">
        <v>1</v>
      </c>
      <c r="F593">
        <v>74</v>
      </c>
    </row>
    <row r="594" spans="1:6" x14ac:dyDescent="0.2">
      <c r="A594">
        <v>2011</v>
      </c>
      <c r="B594">
        <v>4</v>
      </c>
      <c r="C594">
        <v>14.5</v>
      </c>
      <c r="D594">
        <v>24.8</v>
      </c>
      <c r="E594">
        <v>4.3</v>
      </c>
      <c r="F594">
        <v>96</v>
      </c>
    </row>
    <row r="595" spans="1:6" x14ac:dyDescent="0.2">
      <c r="A595">
        <v>2011</v>
      </c>
      <c r="B595">
        <v>5</v>
      </c>
      <c r="C595">
        <v>18.5</v>
      </c>
      <c r="D595">
        <v>29.6</v>
      </c>
      <c r="E595">
        <v>12.2</v>
      </c>
      <c r="F595">
        <v>213.5</v>
      </c>
    </row>
    <row r="596" spans="1:6" x14ac:dyDescent="0.2">
      <c r="A596">
        <v>2011</v>
      </c>
      <c r="B596">
        <v>6</v>
      </c>
      <c r="C596">
        <v>22.8</v>
      </c>
      <c r="D596">
        <v>35.1</v>
      </c>
      <c r="E596">
        <v>12.1</v>
      </c>
      <c r="F596">
        <v>116.5</v>
      </c>
    </row>
    <row r="597" spans="1:6" x14ac:dyDescent="0.2">
      <c r="A597">
        <v>2011</v>
      </c>
      <c r="B597">
        <v>7</v>
      </c>
      <c r="C597">
        <v>27.3</v>
      </c>
      <c r="D597">
        <v>34.799999999999997</v>
      </c>
      <c r="E597">
        <v>18</v>
      </c>
      <c r="F597">
        <v>54.5</v>
      </c>
    </row>
    <row r="598" spans="1:6" x14ac:dyDescent="0.2">
      <c r="A598">
        <v>2011</v>
      </c>
      <c r="B598">
        <v>8</v>
      </c>
      <c r="C598">
        <v>27.5</v>
      </c>
      <c r="D598">
        <v>36.1</v>
      </c>
      <c r="E598">
        <v>19.3</v>
      </c>
      <c r="F598">
        <v>244</v>
      </c>
    </row>
    <row r="599" spans="1:6" x14ac:dyDescent="0.2">
      <c r="A599">
        <v>2011</v>
      </c>
      <c r="B599">
        <v>9</v>
      </c>
      <c r="C599">
        <v>25.1</v>
      </c>
      <c r="D599">
        <v>32.5</v>
      </c>
      <c r="E599">
        <v>15.9</v>
      </c>
      <c r="F599">
        <v>235</v>
      </c>
    </row>
    <row r="600" spans="1:6" x14ac:dyDescent="0.2">
      <c r="A600">
        <v>2011</v>
      </c>
      <c r="B600">
        <v>10</v>
      </c>
      <c r="C600">
        <v>19.5</v>
      </c>
      <c r="D600">
        <v>29.7</v>
      </c>
      <c r="E600">
        <v>11.2</v>
      </c>
      <c r="F600">
        <v>119.5</v>
      </c>
    </row>
    <row r="601" spans="1:6" x14ac:dyDescent="0.2">
      <c r="A601">
        <v>2011</v>
      </c>
      <c r="B601">
        <v>11</v>
      </c>
      <c r="C601">
        <v>14.9</v>
      </c>
      <c r="D601">
        <v>22.7</v>
      </c>
      <c r="E601">
        <v>7.2</v>
      </c>
      <c r="F601">
        <v>112.5</v>
      </c>
    </row>
    <row r="602" spans="1:6" x14ac:dyDescent="0.2">
      <c r="A602">
        <v>2011</v>
      </c>
      <c r="B602">
        <v>12</v>
      </c>
      <c r="C602">
        <v>7.5</v>
      </c>
      <c r="D602">
        <v>18.899999999999999</v>
      </c>
      <c r="E602">
        <v>1.5</v>
      </c>
      <c r="F602">
        <v>59.5</v>
      </c>
    </row>
    <row r="603" spans="1:6" x14ac:dyDescent="0.2">
      <c r="A603">
        <v>2012</v>
      </c>
      <c r="B603">
        <v>1</v>
      </c>
      <c r="C603">
        <v>4.8</v>
      </c>
      <c r="D603">
        <v>11.1</v>
      </c>
      <c r="E603">
        <v>-1</v>
      </c>
      <c r="F603">
        <v>50</v>
      </c>
    </row>
    <row r="604" spans="1:6" x14ac:dyDescent="0.2">
      <c r="A604">
        <v>2012</v>
      </c>
      <c r="B604">
        <v>2</v>
      </c>
      <c r="C604">
        <v>5.4</v>
      </c>
      <c r="D604">
        <v>15.4</v>
      </c>
      <c r="E604">
        <v>-1</v>
      </c>
      <c r="F604">
        <v>94</v>
      </c>
    </row>
    <row r="605" spans="1:6" x14ac:dyDescent="0.2">
      <c r="A605">
        <v>2012</v>
      </c>
      <c r="B605">
        <v>3</v>
      </c>
      <c r="C605">
        <v>8.8000000000000007</v>
      </c>
      <c r="D605">
        <v>19.399999999999999</v>
      </c>
      <c r="E605">
        <v>2</v>
      </c>
      <c r="F605">
        <v>144.5</v>
      </c>
    </row>
    <row r="606" spans="1:6" x14ac:dyDescent="0.2">
      <c r="A606">
        <v>2012</v>
      </c>
      <c r="B606">
        <v>4</v>
      </c>
      <c r="C606">
        <v>14.5</v>
      </c>
      <c r="D606">
        <v>26</v>
      </c>
      <c r="E606">
        <v>5.0999999999999996</v>
      </c>
      <c r="F606">
        <v>118.5</v>
      </c>
    </row>
    <row r="607" spans="1:6" x14ac:dyDescent="0.2">
      <c r="A607">
        <v>2012</v>
      </c>
      <c r="B607">
        <v>5</v>
      </c>
      <c r="C607">
        <v>19.600000000000001</v>
      </c>
      <c r="D607">
        <v>27.2</v>
      </c>
      <c r="E607">
        <v>11.9</v>
      </c>
      <c r="F607">
        <v>231</v>
      </c>
    </row>
    <row r="608" spans="1:6" x14ac:dyDescent="0.2">
      <c r="A608">
        <v>2012</v>
      </c>
      <c r="B608">
        <v>6</v>
      </c>
      <c r="C608">
        <v>21.4</v>
      </c>
      <c r="D608">
        <v>30.2</v>
      </c>
      <c r="E608">
        <v>15.2</v>
      </c>
      <c r="F608">
        <v>185</v>
      </c>
    </row>
    <row r="609" spans="1:6" x14ac:dyDescent="0.2">
      <c r="A609">
        <v>2012</v>
      </c>
      <c r="B609">
        <v>7</v>
      </c>
      <c r="C609">
        <v>26.4</v>
      </c>
      <c r="D609">
        <v>35.4</v>
      </c>
      <c r="E609">
        <v>17.399999999999999</v>
      </c>
      <c r="F609">
        <v>130</v>
      </c>
    </row>
    <row r="610" spans="1:6" x14ac:dyDescent="0.2">
      <c r="A610">
        <v>2012</v>
      </c>
      <c r="B610">
        <v>8</v>
      </c>
      <c r="C610">
        <v>29.1</v>
      </c>
      <c r="D610">
        <v>35.700000000000003</v>
      </c>
      <c r="E610">
        <v>22.9</v>
      </c>
      <c r="F610">
        <v>25</v>
      </c>
    </row>
    <row r="611" spans="1:6" x14ac:dyDescent="0.2">
      <c r="A611">
        <v>2012</v>
      </c>
      <c r="B611">
        <v>9</v>
      </c>
      <c r="C611">
        <v>26.2</v>
      </c>
      <c r="D611">
        <v>33.799999999999997</v>
      </c>
      <c r="E611">
        <v>18</v>
      </c>
      <c r="F611">
        <v>214.5</v>
      </c>
    </row>
    <row r="612" spans="1:6" x14ac:dyDescent="0.2">
      <c r="A612">
        <v>2012</v>
      </c>
      <c r="B612">
        <v>10</v>
      </c>
      <c r="C612">
        <v>19.399999999999999</v>
      </c>
      <c r="D612">
        <v>31</v>
      </c>
      <c r="E612">
        <v>11.8</v>
      </c>
      <c r="F612">
        <v>154.5</v>
      </c>
    </row>
    <row r="613" spans="1:6" x14ac:dyDescent="0.2">
      <c r="A613">
        <v>2012</v>
      </c>
      <c r="B613">
        <v>11</v>
      </c>
      <c r="C613">
        <v>12.7</v>
      </c>
      <c r="D613">
        <v>21.5</v>
      </c>
      <c r="E613">
        <v>4.4000000000000004</v>
      </c>
      <c r="F613">
        <v>154</v>
      </c>
    </row>
    <row r="614" spans="1:6" x14ac:dyDescent="0.2">
      <c r="A614">
        <v>2012</v>
      </c>
      <c r="B614">
        <v>12</v>
      </c>
      <c r="C614">
        <v>7.3</v>
      </c>
      <c r="D614">
        <v>18.399999999999999</v>
      </c>
      <c r="E614">
        <v>0.1</v>
      </c>
      <c r="F614">
        <v>69</v>
      </c>
    </row>
  </sheetData>
  <autoFilter ref="A2:F614"/>
  <phoneticPr fontId="1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3:O57"/>
  <sheetViews>
    <sheetView topLeftCell="A7" workbookViewId="0">
      <selection activeCell="N59" sqref="N59"/>
    </sheetView>
  </sheetViews>
  <sheetFormatPr baseColWidth="10" defaultColWidth="8.83203125" defaultRowHeight="15" x14ac:dyDescent="0.2"/>
  <cols>
    <col min="1" max="1" width="16.83203125" bestFit="1" customWidth="1"/>
    <col min="2" max="2" width="14.83203125" bestFit="1" customWidth="1"/>
    <col min="3" max="6" width="6.6640625" bestFit="1" customWidth="1"/>
    <col min="7" max="9" width="7.5" bestFit="1" customWidth="1"/>
    <col min="10" max="10" width="9.83203125" customWidth="1"/>
    <col min="11" max="13" width="6.6640625" bestFit="1" customWidth="1"/>
    <col min="14" max="14" width="10" bestFit="1" customWidth="1"/>
    <col min="15" max="25" width="23.5" customWidth="1"/>
    <col min="26" max="27" width="31.83203125" customWidth="1"/>
    <col min="28" max="28" width="8.1640625" customWidth="1"/>
    <col min="29" max="30" width="7.33203125" customWidth="1"/>
    <col min="31" max="38" width="8.5" customWidth="1"/>
    <col min="39" max="39" width="7.33203125" customWidth="1"/>
    <col min="40" max="40" width="11.6640625" customWidth="1"/>
    <col min="41" max="41" width="8.1640625" customWidth="1"/>
    <col min="42" max="43" width="7.33203125" customWidth="1"/>
    <col min="44" max="51" width="8.5" customWidth="1"/>
    <col min="52" max="52" width="7.33203125" customWidth="1"/>
    <col min="53" max="53" width="11.6640625" customWidth="1"/>
    <col min="54" max="54" width="8.1640625" customWidth="1"/>
    <col min="55" max="56" width="7.33203125" customWidth="1"/>
    <col min="57" max="64" width="8.5" customWidth="1"/>
    <col min="65" max="65" width="7.33203125" customWidth="1"/>
    <col min="66" max="66" width="11.6640625" customWidth="1"/>
    <col min="67" max="67" width="8.1640625" customWidth="1"/>
    <col min="68" max="69" width="7.33203125" customWidth="1"/>
    <col min="70" max="77" width="8.5" customWidth="1"/>
    <col min="78" max="78" width="7.33203125" customWidth="1"/>
    <col min="79" max="79" width="11.6640625" customWidth="1"/>
    <col min="80" max="80" width="8.1640625" customWidth="1"/>
    <col min="81" max="81" width="7.33203125" customWidth="1"/>
    <col min="82" max="91" width="8.5" customWidth="1"/>
    <col min="92" max="92" width="11.6640625" customWidth="1"/>
    <col min="93" max="93" width="8.1640625" customWidth="1"/>
    <col min="94" max="95" width="7.33203125" customWidth="1"/>
    <col min="96" max="103" width="8.5" customWidth="1"/>
    <col min="104" max="104" width="7.33203125" customWidth="1"/>
    <col min="105" max="105" width="11.6640625" customWidth="1"/>
    <col min="106" max="106" width="8.1640625" customWidth="1"/>
    <col min="107" max="108" width="7.33203125" customWidth="1"/>
    <col min="109" max="116" width="8.5" customWidth="1"/>
    <col min="117" max="117" width="7.33203125" customWidth="1"/>
    <col min="118" max="118" width="11.6640625" customWidth="1"/>
    <col min="119" max="119" width="8.1640625" customWidth="1"/>
    <col min="120" max="121" width="7.33203125" customWidth="1"/>
    <col min="122" max="129" width="8.5" customWidth="1"/>
    <col min="130" max="130" width="7.33203125" customWidth="1"/>
    <col min="131" max="131" width="11.6640625" customWidth="1"/>
    <col min="132" max="132" width="8.1640625" customWidth="1"/>
    <col min="133" max="134" width="7.33203125" customWidth="1"/>
    <col min="135" max="142" width="8.5" customWidth="1"/>
    <col min="143" max="143" width="7.33203125" customWidth="1"/>
    <col min="144" max="144" width="11.6640625" customWidth="1"/>
    <col min="145" max="145" width="8.1640625" customWidth="1"/>
    <col min="146" max="147" width="7.33203125" customWidth="1"/>
    <col min="148" max="155" width="8.5" customWidth="1"/>
    <col min="156" max="156" width="7.33203125" customWidth="1"/>
    <col min="157" max="157" width="11.6640625" customWidth="1"/>
    <col min="158" max="158" width="8.1640625" customWidth="1"/>
    <col min="159" max="160" width="7.33203125" customWidth="1"/>
    <col min="161" max="168" width="8.5" customWidth="1"/>
    <col min="169" max="169" width="7.33203125" customWidth="1"/>
    <col min="170" max="170" width="11.6640625" customWidth="1"/>
    <col min="171" max="171" width="8.1640625" customWidth="1"/>
    <col min="172" max="173" width="7.33203125" customWidth="1"/>
    <col min="174" max="181" width="8.5" customWidth="1"/>
    <col min="182" max="182" width="7.33203125" customWidth="1"/>
    <col min="183" max="183" width="11.6640625" customWidth="1"/>
    <col min="184" max="184" width="8.1640625" customWidth="1"/>
    <col min="185" max="186" width="7.33203125" customWidth="1"/>
    <col min="187" max="194" width="8.5" customWidth="1"/>
    <col min="195" max="195" width="7.33203125" customWidth="1"/>
    <col min="196" max="196" width="11.6640625" customWidth="1"/>
    <col min="197" max="197" width="8.1640625" customWidth="1"/>
    <col min="198" max="199" width="7.33203125" customWidth="1"/>
    <col min="200" max="207" width="8.5" customWidth="1"/>
    <col min="208" max="208" width="7.33203125" customWidth="1"/>
    <col min="209" max="209" width="11.6640625" customWidth="1"/>
    <col min="210" max="210" width="8.1640625" customWidth="1"/>
    <col min="211" max="212" width="7.33203125" customWidth="1"/>
    <col min="213" max="220" width="8.5" customWidth="1"/>
    <col min="221" max="221" width="7.33203125" customWidth="1"/>
    <col min="222" max="222" width="11.6640625" customWidth="1"/>
    <col min="223" max="223" width="8.1640625" customWidth="1"/>
    <col min="224" max="225" width="7.33203125" customWidth="1"/>
    <col min="226" max="234" width="8.5" customWidth="1"/>
    <col min="235" max="235" width="11.6640625" customWidth="1"/>
    <col min="236" max="236" width="8.1640625" customWidth="1"/>
    <col min="237" max="238" width="7.33203125" customWidth="1"/>
    <col min="239" max="246" width="8.5" customWidth="1"/>
    <col min="247" max="247" width="7.33203125" customWidth="1"/>
    <col min="248" max="248" width="11.6640625" customWidth="1"/>
    <col min="249" max="249" width="8.1640625" customWidth="1"/>
    <col min="250" max="251" width="7.33203125" customWidth="1"/>
    <col min="252" max="259" width="8.5" customWidth="1"/>
    <col min="260" max="260" width="7.33203125" customWidth="1"/>
    <col min="261" max="261" width="11.6640625" customWidth="1"/>
    <col min="262" max="262" width="8.1640625" customWidth="1"/>
    <col min="263" max="264" width="7.33203125" customWidth="1"/>
    <col min="265" max="272" width="8.5" customWidth="1"/>
    <col min="273" max="273" width="7.33203125" customWidth="1"/>
    <col min="274" max="274" width="11.6640625" customWidth="1"/>
    <col min="275" max="275" width="8.1640625" customWidth="1"/>
    <col min="276" max="277" width="7.33203125" customWidth="1"/>
    <col min="278" max="285" width="8.5" customWidth="1"/>
    <col min="286" max="286" width="7.33203125" customWidth="1"/>
    <col min="287" max="287" width="11.6640625" customWidth="1"/>
    <col min="288" max="288" width="8.1640625" customWidth="1"/>
    <col min="289" max="290" width="7.33203125" customWidth="1"/>
    <col min="291" max="298" width="8.5" customWidth="1"/>
    <col min="299" max="299" width="7.33203125" customWidth="1"/>
    <col min="300" max="300" width="11.6640625" customWidth="1"/>
    <col min="301" max="301" width="8.1640625" customWidth="1"/>
    <col min="302" max="303" width="7.33203125" customWidth="1"/>
    <col min="304" max="311" width="8.5" customWidth="1"/>
    <col min="312" max="312" width="7.33203125" customWidth="1"/>
    <col min="313" max="313" width="11.6640625" customWidth="1"/>
    <col min="314" max="314" width="8.1640625" customWidth="1"/>
    <col min="315" max="316" width="7.33203125" customWidth="1"/>
    <col min="317" max="324" width="8.5" customWidth="1"/>
    <col min="325" max="325" width="7.33203125" customWidth="1"/>
    <col min="326" max="326" width="11.6640625" customWidth="1"/>
    <col min="327" max="327" width="8.1640625" customWidth="1"/>
    <col min="328" max="329" width="7.33203125" customWidth="1"/>
    <col min="330" max="337" width="8.5" customWidth="1"/>
    <col min="338" max="338" width="7.33203125" customWidth="1"/>
    <col min="339" max="339" width="11.6640625" customWidth="1"/>
    <col min="340" max="340" width="8.1640625" customWidth="1"/>
    <col min="341" max="342" width="7.33203125" customWidth="1"/>
    <col min="343" max="350" width="8.5" customWidth="1"/>
    <col min="351" max="351" width="7.33203125" customWidth="1"/>
    <col min="352" max="352" width="11.6640625" customWidth="1"/>
    <col min="353" max="353" width="8.1640625" customWidth="1"/>
    <col min="354" max="355" width="7.33203125" customWidth="1"/>
    <col min="356" max="363" width="8.5" customWidth="1"/>
    <col min="364" max="364" width="7.33203125" customWidth="1"/>
    <col min="365" max="365" width="11.6640625" customWidth="1"/>
    <col min="366" max="366" width="8.1640625" customWidth="1"/>
    <col min="367" max="367" width="7.33203125" customWidth="1"/>
    <col min="368" max="377" width="8.5" customWidth="1"/>
    <col min="378" max="378" width="11.6640625" customWidth="1"/>
    <col min="379" max="379" width="8.1640625" customWidth="1"/>
    <col min="380" max="381" width="7.33203125" customWidth="1"/>
    <col min="382" max="389" width="8.5" customWidth="1"/>
    <col min="390" max="390" width="7.33203125" customWidth="1"/>
    <col min="391" max="391" width="11.6640625" customWidth="1"/>
    <col min="392" max="392" width="8.1640625" customWidth="1"/>
    <col min="393" max="394" width="7.33203125" customWidth="1"/>
    <col min="395" max="402" width="8.5" customWidth="1"/>
    <col min="403" max="403" width="7.33203125" customWidth="1"/>
    <col min="404" max="404" width="11.6640625" customWidth="1"/>
    <col min="405" max="405" width="8.1640625" customWidth="1"/>
    <col min="406" max="407" width="7.33203125" customWidth="1"/>
    <col min="408" max="415" width="8.5" customWidth="1"/>
    <col min="416" max="416" width="7.33203125" customWidth="1"/>
    <col min="417" max="417" width="11.6640625" customWidth="1"/>
    <col min="418" max="418" width="8.1640625" customWidth="1"/>
    <col min="419" max="420" width="7.33203125" customWidth="1"/>
    <col min="421" max="428" width="8.5" customWidth="1"/>
    <col min="429" max="429" width="7.33203125" customWidth="1"/>
    <col min="430" max="430" width="11.6640625" customWidth="1"/>
    <col min="431" max="431" width="8.1640625" customWidth="1"/>
    <col min="432" max="433" width="7.33203125" customWidth="1"/>
    <col min="434" max="441" width="8.5" customWidth="1"/>
    <col min="442" max="442" width="7.33203125" customWidth="1"/>
    <col min="443" max="443" width="11.6640625" customWidth="1"/>
    <col min="444" max="444" width="8.1640625" customWidth="1"/>
    <col min="445" max="446" width="7.33203125" customWidth="1"/>
    <col min="447" max="454" width="8.5" customWidth="1"/>
    <col min="455" max="455" width="7.33203125" customWidth="1"/>
    <col min="456" max="456" width="11.6640625" customWidth="1"/>
    <col min="457" max="457" width="8.1640625" customWidth="1"/>
    <col min="458" max="458" width="7.33203125" customWidth="1"/>
    <col min="459" max="467" width="8.5" customWidth="1"/>
    <col min="468" max="468" width="7.33203125" customWidth="1"/>
    <col min="469" max="469" width="11.6640625" customWidth="1"/>
    <col min="470" max="470" width="8.1640625" customWidth="1"/>
    <col min="471" max="471" width="7.33203125" customWidth="1"/>
    <col min="472" max="480" width="8.5" customWidth="1"/>
    <col min="481" max="481" width="7.33203125" customWidth="1"/>
    <col min="482" max="482" width="11.6640625" customWidth="1"/>
    <col min="483" max="483" width="8.1640625" customWidth="1"/>
    <col min="484" max="484" width="7.33203125" customWidth="1"/>
    <col min="485" max="493" width="8.5" customWidth="1"/>
    <col min="494" max="494" width="7.33203125" customWidth="1"/>
    <col min="495" max="495" width="11.6640625" customWidth="1"/>
    <col min="496" max="496" width="8.1640625" customWidth="1"/>
    <col min="497" max="498" width="7.33203125" customWidth="1"/>
    <col min="499" max="506" width="8.5" customWidth="1"/>
    <col min="507" max="507" width="7.33203125" customWidth="1"/>
    <col min="508" max="508" width="11.6640625" customWidth="1"/>
    <col min="509" max="509" width="8.1640625" customWidth="1"/>
    <col min="510" max="511" width="7.33203125" customWidth="1"/>
    <col min="512" max="519" width="8.5" customWidth="1"/>
    <col min="520" max="520" width="7.33203125" customWidth="1"/>
    <col min="521" max="521" width="11.6640625" bestFit="1" customWidth="1"/>
    <col min="522" max="522" width="8.1640625" customWidth="1"/>
    <col min="523" max="523" width="7.33203125" customWidth="1"/>
    <col min="524" max="532" width="8.5" customWidth="1"/>
    <col min="533" max="533" width="7.33203125" customWidth="1"/>
    <col min="534" max="534" width="11.6640625" customWidth="1"/>
    <col min="535" max="535" width="8.1640625" customWidth="1"/>
    <col min="536" max="537" width="7.33203125" customWidth="1"/>
    <col min="538" max="545" width="8.5" customWidth="1"/>
    <col min="546" max="546" width="7.33203125" customWidth="1"/>
    <col min="547" max="547" width="11.6640625" customWidth="1"/>
    <col min="548" max="548" width="8.1640625" customWidth="1"/>
    <col min="549" max="550" width="7.33203125" customWidth="1"/>
    <col min="551" max="558" width="8.5" customWidth="1"/>
    <col min="559" max="559" width="7.33203125" customWidth="1"/>
    <col min="560" max="560" width="11.6640625" customWidth="1"/>
    <col min="561" max="561" width="8.1640625" customWidth="1"/>
    <col min="562" max="563" width="7.33203125" customWidth="1"/>
    <col min="564" max="571" width="8.5" customWidth="1"/>
    <col min="572" max="572" width="7.33203125" customWidth="1"/>
    <col min="573" max="573" width="11.6640625" bestFit="1" customWidth="1"/>
    <col min="574" max="574" width="8.1640625" customWidth="1"/>
    <col min="575" max="576" width="7.33203125" customWidth="1"/>
    <col min="577" max="584" width="8.5" customWidth="1"/>
    <col min="585" max="585" width="7.33203125" customWidth="1"/>
    <col min="586" max="586" width="11.6640625" customWidth="1"/>
    <col min="587" max="587" width="8.1640625" customWidth="1"/>
    <col min="588" max="588" width="7.33203125" customWidth="1"/>
    <col min="589" max="597" width="8.5" customWidth="1"/>
    <col min="598" max="598" width="7.33203125" customWidth="1"/>
    <col min="599" max="599" width="11.6640625" customWidth="1"/>
    <col min="600" max="600" width="8.1640625" customWidth="1"/>
    <col min="601" max="601" width="7.33203125" customWidth="1"/>
    <col min="602" max="610" width="8.5" customWidth="1"/>
    <col min="611" max="611" width="7.33203125" customWidth="1"/>
    <col min="612" max="612" width="11.6640625" customWidth="1"/>
    <col min="613" max="613" width="8.1640625" customWidth="1"/>
    <col min="614" max="614" width="7.33203125" customWidth="1"/>
    <col min="615" max="623" width="8.5" customWidth="1"/>
    <col min="624" max="624" width="7.33203125" customWidth="1"/>
    <col min="625" max="625" width="11.6640625" bestFit="1" customWidth="1"/>
    <col min="626" max="626" width="8.1640625" customWidth="1"/>
    <col min="627" max="628" width="7.33203125" customWidth="1"/>
    <col min="629" max="636" width="8.5" customWidth="1"/>
    <col min="637" max="637" width="7.33203125" customWidth="1"/>
    <col min="638" max="638" width="11.6640625" bestFit="1" customWidth="1"/>
    <col min="639" max="639" width="8.1640625" customWidth="1"/>
    <col min="640" max="641" width="7.33203125" customWidth="1"/>
    <col min="642" max="649" width="8.5" customWidth="1"/>
    <col min="650" max="650" width="7.33203125" customWidth="1"/>
    <col min="651" max="651" width="11.6640625" bestFit="1" customWidth="1"/>
    <col min="652" max="652" width="8.1640625" customWidth="1"/>
    <col min="653" max="654" width="7.33203125" customWidth="1"/>
    <col min="655" max="662" width="8.5" customWidth="1"/>
    <col min="663" max="663" width="7.33203125" customWidth="1"/>
    <col min="664" max="664" width="11.6640625" bestFit="1" customWidth="1"/>
    <col min="665" max="665" width="8.5" customWidth="1"/>
  </cols>
  <sheetData>
    <row r="3" spans="1:15" x14ac:dyDescent="0.2">
      <c r="A3" s="1" t="s">
        <v>7</v>
      </c>
      <c r="B3" s="1" t="s">
        <v>8</v>
      </c>
    </row>
    <row r="4" spans="1:15" x14ac:dyDescent="0.2">
      <c r="A4" s="1" t="s">
        <v>9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 t="s">
        <v>10</v>
      </c>
    </row>
    <row r="5" spans="1:15" x14ac:dyDescent="0.2">
      <c r="A5" s="2">
        <v>1962</v>
      </c>
      <c r="B5" s="3">
        <v>4.5</v>
      </c>
      <c r="C5" s="3">
        <v>5.9</v>
      </c>
      <c r="D5" s="3">
        <v>8.1999999999999993</v>
      </c>
      <c r="E5" s="3">
        <v>14.1</v>
      </c>
      <c r="F5" s="3">
        <v>18.399999999999999</v>
      </c>
      <c r="G5" s="3">
        <v>20.9</v>
      </c>
      <c r="H5" s="3">
        <v>25.1</v>
      </c>
      <c r="I5" s="3">
        <v>28.1</v>
      </c>
      <c r="J5" s="3">
        <v>24.5</v>
      </c>
      <c r="K5" s="3">
        <v>16.7</v>
      </c>
      <c r="L5" s="3">
        <v>11.3</v>
      </c>
      <c r="M5" s="3">
        <v>7</v>
      </c>
      <c r="N5" s="3">
        <v>184.7</v>
      </c>
      <c r="O5">
        <f xml:space="preserve"> $N5/12</f>
        <v>15.391666666666666</v>
      </c>
    </row>
    <row r="6" spans="1:15" x14ac:dyDescent="0.2">
      <c r="A6" s="2">
        <v>1963</v>
      </c>
      <c r="B6" s="3">
        <v>3.2</v>
      </c>
      <c r="C6" s="3">
        <v>4.8</v>
      </c>
      <c r="D6" s="3">
        <v>7.6</v>
      </c>
      <c r="E6" s="3">
        <v>13.9</v>
      </c>
      <c r="F6" s="3">
        <v>18.399999999999999</v>
      </c>
      <c r="G6" s="3">
        <v>21.8</v>
      </c>
      <c r="H6" s="3">
        <v>25.7</v>
      </c>
      <c r="I6" s="3">
        <v>26.6</v>
      </c>
      <c r="J6" s="3">
        <v>21.4</v>
      </c>
      <c r="K6" s="3">
        <v>16.3</v>
      </c>
      <c r="L6" s="3">
        <v>12.1</v>
      </c>
      <c r="M6" s="3">
        <v>8.1</v>
      </c>
      <c r="N6" s="3">
        <v>179.9</v>
      </c>
      <c r="O6">
        <f t="shared" ref="O6:O55" si="0" xml:space="preserve"> $N6/12</f>
        <v>14.991666666666667</v>
      </c>
    </row>
    <row r="7" spans="1:15" x14ac:dyDescent="0.2">
      <c r="A7" s="2">
        <v>1964</v>
      </c>
      <c r="B7" s="3">
        <v>5.4</v>
      </c>
      <c r="C7" s="3">
        <v>4.2</v>
      </c>
      <c r="D7" s="3">
        <v>7.6</v>
      </c>
      <c r="E7" s="3">
        <v>15.3</v>
      </c>
      <c r="F7" s="3">
        <v>18.899999999999999</v>
      </c>
      <c r="G7" s="3">
        <v>21.5</v>
      </c>
      <c r="H7" s="3">
        <v>25.5</v>
      </c>
      <c r="I7" s="3">
        <v>27.8</v>
      </c>
      <c r="J7" s="3">
        <v>22.3</v>
      </c>
      <c r="K7" s="3">
        <v>15.9</v>
      </c>
      <c r="L7" s="3">
        <v>11.1</v>
      </c>
      <c r="M7" s="3">
        <v>7.5</v>
      </c>
      <c r="N7" s="3">
        <v>183</v>
      </c>
      <c r="O7">
        <f t="shared" si="0"/>
        <v>15.25</v>
      </c>
    </row>
    <row r="8" spans="1:15" x14ac:dyDescent="0.2">
      <c r="A8" s="2">
        <v>1965</v>
      </c>
      <c r="B8" s="3">
        <v>4.4000000000000004</v>
      </c>
      <c r="C8" s="3">
        <v>4.7</v>
      </c>
      <c r="D8" s="3">
        <v>6.9</v>
      </c>
      <c r="E8" s="3">
        <v>11.1</v>
      </c>
      <c r="F8" s="3">
        <v>17.2</v>
      </c>
      <c r="G8" s="3">
        <v>21.6</v>
      </c>
      <c r="H8" s="3">
        <v>24.2</v>
      </c>
      <c r="I8" s="3">
        <v>26.7</v>
      </c>
      <c r="J8" s="3">
        <v>22.2</v>
      </c>
      <c r="K8" s="3">
        <v>16.899999999999999</v>
      </c>
      <c r="L8" s="3">
        <v>12.7</v>
      </c>
      <c r="M8" s="3">
        <v>7</v>
      </c>
      <c r="N8" s="3">
        <v>175.6</v>
      </c>
      <c r="O8">
        <f t="shared" si="0"/>
        <v>14.633333333333333</v>
      </c>
    </row>
    <row r="9" spans="1:15" x14ac:dyDescent="0.2">
      <c r="A9" s="2">
        <v>1966</v>
      </c>
      <c r="B9" s="3">
        <v>4.5999999999999996</v>
      </c>
      <c r="C9" s="3">
        <v>7.2</v>
      </c>
      <c r="D9" s="3">
        <v>9.6</v>
      </c>
      <c r="E9" s="3">
        <v>13.6</v>
      </c>
      <c r="F9" s="3">
        <v>17.899999999999999</v>
      </c>
      <c r="G9" s="3">
        <v>20.100000000000001</v>
      </c>
      <c r="H9" s="3">
        <v>24.4</v>
      </c>
      <c r="I9" s="3">
        <v>26.9</v>
      </c>
      <c r="J9" s="3">
        <v>23.2</v>
      </c>
      <c r="K9" s="3">
        <v>18.899999999999999</v>
      </c>
      <c r="L9" s="3">
        <v>12.9</v>
      </c>
      <c r="M9" s="3">
        <v>6.6</v>
      </c>
      <c r="N9" s="3">
        <v>185.9</v>
      </c>
      <c r="O9">
        <f t="shared" si="0"/>
        <v>15.491666666666667</v>
      </c>
    </row>
    <row r="10" spans="1:15" x14ac:dyDescent="0.2">
      <c r="A10" s="2">
        <v>1967</v>
      </c>
      <c r="B10" s="3">
        <v>4.4000000000000004</v>
      </c>
      <c r="C10" s="3">
        <v>4.9000000000000004</v>
      </c>
      <c r="D10" s="3">
        <v>9.5</v>
      </c>
      <c r="E10" s="3">
        <v>14.5</v>
      </c>
      <c r="F10" s="3">
        <v>20</v>
      </c>
      <c r="G10" s="3">
        <v>23</v>
      </c>
      <c r="H10" s="3">
        <v>26.3</v>
      </c>
      <c r="I10" s="3">
        <v>28</v>
      </c>
      <c r="J10" s="3">
        <v>22.6</v>
      </c>
      <c r="K10" s="3">
        <v>16.899999999999999</v>
      </c>
      <c r="L10" s="3">
        <v>12.1</v>
      </c>
      <c r="M10" s="3">
        <v>6.7</v>
      </c>
      <c r="N10" s="3">
        <v>188.89999999999998</v>
      </c>
      <c r="O10">
        <f t="shared" si="0"/>
        <v>15.741666666666665</v>
      </c>
    </row>
    <row r="11" spans="1:15" x14ac:dyDescent="0.2">
      <c r="A11" s="2">
        <v>1968</v>
      </c>
      <c r="B11" s="3">
        <v>5.7</v>
      </c>
      <c r="C11" s="3">
        <v>4.3</v>
      </c>
      <c r="D11" s="3">
        <v>10</v>
      </c>
      <c r="E11" s="3">
        <v>14.1</v>
      </c>
      <c r="F11" s="3">
        <v>17.5</v>
      </c>
      <c r="G11" s="3">
        <v>22</v>
      </c>
      <c r="H11" s="3">
        <v>24.7</v>
      </c>
      <c r="I11" s="3">
        <v>26.6</v>
      </c>
      <c r="J11" s="3">
        <v>21.9</v>
      </c>
      <c r="K11" s="3">
        <v>16.3</v>
      </c>
      <c r="L11" s="3">
        <v>14.1</v>
      </c>
      <c r="M11" s="3">
        <v>10.199999999999999</v>
      </c>
      <c r="N11" s="3">
        <v>187.4</v>
      </c>
      <c r="O11">
        <f t="shared" si="0"/>
        <v>15.616666666666667</v>
      </c>
    </row>
    <row r="12" spans="1:15" x14ac:dyDescent="0.2">
      <c r="A12" s="2">
        <v>1969</v>
      </c>
      <c r="B12" s="3">
        <v>5.7</v>
      </c>
      <c r="C12" s="3">
        <v>5.7</v>
      </c>
      <c r="D12" s="3">
        <v>7.9</v>
      </c>
      <c r="E12" s="3">
        <v>14.6</v>
      </c>
      <c r="F12" s="3">
        <v>19.600000000000001</v>
      </c>
      <c r="G12" s="3">
        <v>21.8</v>
      </c>
      <c r="H12" s="3">
        <v>25</v>
      </c>
      <c r="I12" s="3">
        <v>27.2</v>
      </c>
      <c r="J12" s="3">
        <v>22.8</v>
      </c>
      <c r="K12" s="3">
        <v>17.3</v>
      </c>
      <c r="L12" s="3">
        <v>12.8</v>
      </c>
      <c r="M12" s="3">
        <v>7.2</v>
      </c>
      <c r="N12" s="3">
        <v>187.60000000000002</v>
      </c>
      <c r="O12">
        <f t="shared" si="0"/>
        <v>15.633333333333335</v>
      </c>
    </row>
    <row r="13" spans="1:15" x14ac:dyDescent="0.2">
      <c r="A13" s="2">
        <v>1970</v>
      </c>
      <c r="B13" s="3">
        <v>4.5</v>
      </c>
      <c r="C13" s="3">
        <v>6</v>
      </c>
      <c r="D13" s="3">
        <v>5.5</v>
      </c>
      <c r="E13" s="3">
        <v>13</v>
      </c>
      <c r="F13" s="3">
        <v>19.600000000000001</v>
      </c>
      <c r="G13" s="3">
        <v>20.7</v>
      </c>
      <c r="H13" s="3">
        <v>25.4</v>
      </c>
      <c r="I13" s="3">
        <v>27.4</v>
      </c>
      <c r="J13" s="3">
        <v>24</v>
      </c>
      <c r="K13" s="3">
        <v>17.2</v>
      </c>
      <c r="L13" s="3">
        <v>12.3</v>
      </c>
      <c r="M13" s="3">
        <v>6.8</v>
      </c>
      <c r="N13" s="3">
        <v>182.4</v>
      </c>
      <c r="O13">
        <f t="shared" si="0"/>
        <v>15.200000000000001</v>
      </c>
    </row>
    <row r="14" spans="1:15" x14ac:dyDescent="0.2">
      <c r="A14" s="2">
        <v>1971</v>
      </c>
      <c r="B14" s="3">
        <v>5.0999999999999996</v>
      </c>
      <c r="C14" s="3">
        <v>5.9</v>
      </c>
      <c r="D14" s="3">
        <v>8.3000000000000007</v>
      </c>
      <c r="E14" s="3">
        <v>13.5</v>
      </c>
      <c r="F14" s="3">
        <v>17.399999999999999</v>
      </c>
      <c r="G14" s="3">
        <v>21.3</v>
      </c>
      <c r="H14" s="3">
        <v>25.8</v>
      </c>
      <c r="I14" s="3">
        <v>26.7</v>
      </c>
      <c r="J14" s="3">
        <v>21.1</v>
      </c>
      <c r="K14" s="3">
        <v>15.5</v>
      </c>
      <c r="L14" s="3">
        <v>11.9</v>
      </c>
      <c r="M14" s="3">
        <v>7.9</v>
      </c>
      <c r="N14" s="3">
        <v>180.4</v>
      </c>
      <c r="O14">
        <f t="shared" si="0"/>
        <v>15.033333333333333</v>
      </c>
    </row>
    <row r="15" spans="1:15" x14ac:dyDescent="0.2">
      <c r="A15" s="2">
        <v>1972</v>
      </c>
      <c r="B15" s="3">
        <v>6.6</v>
      </c>
      <c r="C15" s="3">
        <v>5.0999999999999996</v>
      </c>
      <c r="D15" s="3">
        <v>9.6999999999999993</v>
      </c>
      <c r="E15" s="3">
        <v>13.4</v>
      </c>
      <c r="F15" s="3">
        <v>18.600000000000001</v>
      </c>
      <c r="G15" s="3">
        <v>21.4</v>
      </c>
      <c r="H15" s="3">
        <v>25.2</v>
      </c>
      <c r="I15" s="3">
        <v>26.6</v>
      </c>
      <c r="J15" s="3">
        <v>23.1</v>
      </c>
      <c r="K15" s="3">
        <v>18.5</v>
      </c>
      <c r="L15" s="3">
        <v>12.3</v>
      </c>
      <c r="M15" s="3">
        <v>8.1</v>
      </c>
      <c r="N15" s="3">
        <v>188.6</v>
      </c>
      <c r="O15">
        <f t="shared" si="0"/>
        <v>15.716666666666667</v>
      </c>
    </row>
    <row r="16" spans="1:15" x14ac:dyDescent="0.2">
      <c r="A16" s="2">
        <v>1973</v>
      </c>
      <c r="B16" s="3">
        <v>6.3</v>
      </c>
      <c r="C16" s="3">
        <v>6.9</v>
      </c>
      <c r="D16" s="3">
        <v>7.8</v>
      </c>
      <c r="E16" s="3">
        <v>15.3</v>
      </c>
      <c r="F16" s="3">
        <v>17.899999999999999</v>
      </c>
      <c r="G16" s="3">
        <v>19.8</v>
      </c>
      <c r="H16" s="3">
        <v>26.1</v>
      </c>
      <c r="I16" s="3">
        <v>28.5</v>
      </c>
      <c r="J16" s="3">
        <v>23.2</v>
      </c>
      <c r="K16" s="3">
        <v>17.399999999999999</v>
      </c>
      <c r="L16" s="3">
        <v>12.1</v>
      </c>
      <c r="M16" s="3">
        <v>6.6</v>
      </c>
      <c r="N16" s="3">
        <v>187.89999999999998</v>
      </c>
      <c r="O16">
        <f t="shared" si="0"/>
        <v>15.658333333333331</v>
      </c>
    </row>
    <row r="17" spans="1:15" x14ac:dyDescent="0.2">
      <c r="A17" s="2">
        <v>1974</v>
      </c>
      <c r="B17" s="3">
        <v>4.4000000000000004</v>
      </c>
      <c r="C17" s="3">
        <v>5.0999999999999996</v>
      </c>
      <c r="D17" s="3">
        <v>7.3</v>
      </c>
      <c r="E17" s="3">
        <v>14.8</v>
      </c>
      <c r="F17" s="3">
        <v>19.3</v>
      </c>
      <c r="G17" s="3">
        <v>21.9</v>
      </c>
      <c r="H17" s="3">
        <v>23.4</v>
      </c>
      <c r="I17" s="3">
        <v>27.1</v>
      </c>
      <c r="J17" s="3">
        <v>22.8</v>
      </c>
      <c r="K17" s="3">
        <v>17.8</v>
      </c>
      <c r="L17" s="3">
        <v>11.7</v>
      </c>
      <c r="M17" s="3">
        <v>6.7</v>
      </c>
      <c r="N17" s="3">
        <v>182.3</v>
      </c>
      <c r="O17">
        <f t="shared" si="0"/>
        <v>15.191666666666668</v>
      </c>
    </row>
    <row r="18" spans="1:15" x14ac:dyDescent="0.2">
      <c r="A18" s="2">
        <v>1975</v>
      </c>
      <c r="B18" s="3">
        <v>4.7</v>
      </c>
      <c r="C18" s="3">
        <v>5.0999999999999996</v>
      </c>
      <c r="D18" s="3">
        <v>7.9</v>
      </c>
      <c r="E18" s="3">
        <v>14.3</v>
      </c>
      <c r="F18" s="3">
        <v>18.600000000000001</v>
      </c>
      <c r="G18" s="3">
        <v>21.6</v>
      </c>
      <c r="H18" s="3">
        <v>25.6</v>
      </c>
      <c r="I18" s="3">
        <v>27.3</v>
      </c>
      <c r="J18" s="3">
        <v>25.2</v>
      </c>
      <c r="K18" s="3">
        <v>17.3</v>
      </c>
      <c r="L18" s="3">
        <v>12.7</v>
      </c>
      <c r="M18" s="3">
        <v>6.7</v>
      </c>
      <c r="N18" s="3">
        <v>187</v>
      </c>
      <c r="O18">
        <f t="shared" si="0"/>
        <v>15.583333333333334</v>
      </c>
    </row>
    <row r="19" spans="1:15" x14ac:dyDescent="0.2">
      <c r="A19" s="2">
        <v>1976</v>
      </c>
      <c r="B19" s="3">
        <v>5.4</v>
      </c>
      <c r="C19" s="3">
        <v>6.8</v>
      </c>
      <c r="D19" s="3">
        <v>9</v>
      </c>
      <c r="E19" s="3">
        <v>13</v>
      </c>
      <c r="F19" s="3">
        <v>17.7</v>
      </c>
      <c r="G19" s="3">
        <v>21.5</v>
      </c>
      <c r="H19" s="3">
        <v>23.9</v>
      </c>
      <c r="I19" s="3">
        <v>25.1</v>
      </c>
      <c r="J19" s="3">
        <v>22</v>
      </c>
      <c r="K19" s="3">
        <v>17.5</v>
      </c>
      <c r="L19" s="3">
        <v>11.2</v>
      </c>
      <c r="M19" s="3">
        <v>7.3</v>
      </c>
      <c r="N19" s="3">
        <v>180.4</v>
      </c>
      <c r="O19">
        <f t="shared" si="0"/>
        <v>15.033333333333333</v>
      </c>
    </row>
    <row r="20" spans="1:15" x14ac:dyDescent="0.2">
      <c r="A20" s="2">
        <v>1977</v>
      </c>
      <c r="B20" s="3">
        <v>3.4</v>
      </c>
      <c r="C20" s="3">
        <v>4.9000000000000004</v>
      </c>
      <c r="D20" s="3">
        <v>9.3000000000000007</v>
      </c>
      <c r="E20" s="3">
        <v>15.1</v>
      </c>
      <c r="F20" s="3">
        <v>18.7</v>
      </c>
      <c r="G20" s="3">
        <v>20.9</v>
      </c>
      <c r="H20" s="3">
        <v>25.8</v>
      </c>
      <c r="I20" s="3">
        <v>25</v>
      </c>
      <c r="J20" s="3">
        <v>24.3</v>
      </c>
      <c r="K20" s="3">
        <v>18.7</v>
      </c>
      <c r="L20" s="3">
        <v>14.8</v>
      </c>
      <c r="M20" s="3">
        <v>8.9</v>
      </c>
      <c r="N20" s="3">
        <v>189.8</v>
      </c>
      <c r="O20">
        <f t="shared" si="0"/>
        <v>15.816666666666668</v>
      </c>
    </row>
    <row r="21" spans="1:15" x14ac:dyDescent="0.2">
      <c r="A21" s="2">
        <v>1978</v>
      </c>
      <c r="B21" s="3">
        <v>5.6</v>
      </c>
      <c r="C21" s="3">
        <v>4.2</v>
      </c>
      <c r="D21" s="3">
        <v>8.6999999999999993</v>
      </c>
      <c r="E21" s="3">
        <v>13.9</v>
      </c>
      <c r="F21" s="3">
        <v>19</v>
      </c>
      <c r="G21" s="3">
        <v>23.8</v>
      </c>
      <c r="H21" s="3">
        <v>27.8</v>
      </c>
      <c r="I21" s="3">
        <v>28.9</v>
      </c>
      <c r="J21" s="3">
        <v>22.2</v>
      </c>
      <c r="K21" s="3">
        <v>17.3</v>
      </c>
      <c r="L21" s="3">
        <v>12.9</v>
      </c>
      <c r="M21" s="3">
        <v>8.5</v>
      </c>
      <c r="N21" s="3">
        <v>192.8</v>
      </c>
      <c r="O21">
        <f t="shared" si="0"/>
        <v>16.066666666666666</v>
      </c>
    </row>
    <row r="22" spans="1:15" x14ac:dyDescent="0.2">
      <c r="A22" s="2">
        <v>1979</v>
      </c>
      <c r="B22" s="3">
        <v>6.6</v>
      </c>
      <c r="C22" s="3">
        <v>8.4</v>
      </c>
      <c r="D22" s="3">
        <v>9.9</v>
      </c>
      <c r="E22" s="3">
        <v>13.9</v>
      </c>
      <c r="F22" s="3">
        <v>18.600000000000001</v>
      </c>
      <c r="G22" s="3">
        <v>24.4</v>
      </c>
      <c r="H22" s="3">
        <v>25.2</v>
      </c>
      <c r="I22" s="3">
        <v>27.4</v>
      </c>
      <c r="J22" s="3">
        <v>24.1</v>
      </c>
      <c r="K22" s="3">
        <v>19.600000000000001</v>
      </c>
      <c r="L22" s="3">
        <v>14.3</v>
      </c>
      <c r="M22" s="3">
        <v>10.1</v>
      </c>
      <c r="N22" s="3">
        <v>202.5</v>
      </c>
      <c r="O22">
        <f t="shared" si="0"/>
        <v>16.875</v>
      </c>
    </row>
    <row r="23" spans="1:15" x14ac:dyDescent="0.2">
      <c r="A23" s="2">
        <v>1980</v>
      </c>
      <c r="B23" s="3">
        <v>5.6</v>
      </c>
      <c r="C23" s="3">
        <v>5.2</v>
      </c>
      <c r="D23" s="3">
        <v>8.1999999999999993</v>
      </c>
      <c r="E23" s="3">
        <v>13.6</v>
      </c>
      <c r="F23" s="3">
        <v>19.2</v>
      </c>
      <c r="G23" s="3">
        <v>23.6</v>
      </c>
      <c r="H23" s="3">
        <v>23.8</v>
      </c>
      <c r="I23" s="3">
        <v>23.4</v>
      </c>
      <c r="J23" s="3">
        <v>23</v>
      </c>
      <c r="K23" s="3">
        <v>18.2</v>
      </c>
      <c r="L23" s="3">
        <v>13</v>
      </c>
      <c r="M23" s="3">
        <v>7.7</v>
      </c>
      <c r="N23" s="3">
        <v>184.49999999999997</v>
      </c>
      <c r="O23">
        <f t="shared" si="0"/>
        <v>15.374999999999998</v>
      </c>
    </row>
    <row r="24" spans="1:15" x14ac:dyDescent="0.2">
      <c r="A24" s="2">
        <v>1981</v>
      </c>
      <c r="B24" s="3">
        <v>4.4000000000000004</v>
      </c>
      <c r="C24" s="3">
        <v>5.3</v>
      </c>
      <c r="D24" s="3">
        <v>9</v>
      </c>
      <c r="E24" s="3">
        <v>13.9</v>
      </c>
      <c r="F24" s="3">
        <v>17.5</v>
      </c>
      <c r="G24" s="3">
        <v>20.2</v>
      </c>
      <c r="H24" s="3">
        <v>26.3</v>
      </c>
      <c r="I24" s="3">
        <v>26.2</v>
      </c>
      <c r="J24" s="3">
        <v>21.8</v>
      </c>
      <c r="K24" s="3">
        <v>17.600000000000001</v>
      </c>
      <c r="L24" s="3">
        <v>10.4</v>
      </c>
      <c r="M24" s="3">
        <v>7.6</v>
      </c>
      <c r="N24" s="3">
        <v>180.2</v>
      </c>
      <c r="O24">
        <f t="shared" si="0"/>
        <v>15.016666666666666</v>
      </c>
    </row>
    <row r="25" spans="1:15" x14ac:dyDescent="0.2">
      <c r="A25" s="2">
        <v>1982</v>
      </c>
      <c r="B25" s="3">
        <v>5.8</v>
      </c>
      <c r="C25" s="3">
        <v>5.5</v>
      </c>
      <c r="D25" s="3">
        <v>9.9</v>
      </c>
      <c r="E25" s="3">
        <v>14</v>
      </c>
      <c r="F25" s="3">
        <v>20.7</v>
      </c>
      <c r="G25" s="3">
        <v>21.4</v>
      </c>
      <c r="H25" s="3">
        <v>23.1</v>
      </c>
      <c r="I25" s="3">
        <v>27.1</v>
      </c>
      <c r="J25" s="3">
        <v>22.3</v>
      </c>
      <c r="K25" s="3">
        <v>18</v>
      </c>
      <c r="L25" s="3">
        <v>14.3</v>
      </c>
      <c r="M25" s="3">
        <v>9.5</v>
      </c>
      <c r="N25" s="3">
        <v>191.60000000000002</v>
      </c>
      <c r="O25">
        <f t="shared" si="0"/>
        <v>15.966666666666669</v>
      </c>
    </row>
    <row r="26" spans="1:15" x14ac:dyDescent="0.2">
      <c r="A26" s="2">
        <v>1983</v>
      </c>
      <c r="B26" s="3">
        <v>6.2</v>
      </c>
      <c r="C26" s="3">
        <v>6.1</v>
      </c>
      <c r="D26" s="3">
        <v>8.6</v>
      </c>
      <c r="E26" s="3">
        <v>15.9</v>
      </c>
      <c r="F26" s="3">
        <v>19.7</v>
      </c>
      <c r="G26" s="3">
        <v>20.5</v>
      </c>
      <c r="H26" s="3">
        <v>23.8</v>
      </c>
      <c r="I26" s="3">
        <v>27.5</v>
      </c>
      <c r="J26" s="3">
        <v>23.1</v>
      </c>
      <c r="K26" s="3">
        <v>17.7</v>
      </c>
      <c r="L26" s="3">
        <v>12.3</v>
      </c>
      <c r="M26" s="3">
        <v>7.1</v>
      </c>
      <c r="N26" s="3">
        <v>188.5</v>
      </c>
      <c r="O26">
        <f t="shared" si="0"/>
        <v>15.708333333333334</v>
      </c>
    </row>
    <row r="27" spans="1:15" x14ac:dyDescent="0.2">
      <c r="A27" s="2">
        <v>1984</v>
      </c>
      <c r="B27" s="3">
        <v>3.7</v>
      </c>
      <c r="C27" s="3">
        <v>3</v>
      </c>
      <c r="D27" s="3">
        <v>5.9</v>
      </c>
      <c r="E27" s="3">
        <v>11.6</v>
      </c>
      <c r="F27" s="3">
        <v>17.2</v>
      </c>
      <c r="G27" s="3">
        <v>21.8</v>
      </c>
      <c r="H27" s="3">
        <v>26.2</v>
      </c>
      <c r="I27" s="3">
        <v>28.6</v>
      </c>
      <c r="J27" s="3">
        <v>23.5</v>
      </c>
      <c r="K27" s="3">
        <v>17.7</v>
      </c>
      <c r="L27" s="3">
        <v>12.2</v>
      </c>
      <c r="M27" s="3">
        <v>7.7</v>
      </c>
      <c r="N27" s="3">
        <v>179.09999999999997</v>
      </c>
      <c r="O27">
        <f t="shared" si="0"/>
        <v>14.924999999999997</v>
      </c>
    </row>
    <row r="28" spans="1:15" x14ac:dyDescent="0.2">
      <c r="A28" s="2">
        <v>1985</v>
      </c>
      <c r="B28" s="3">
        <v>4.0999999999999996</v>
      </c>
      <c r="C28" s="3">
        <v>6.5</v>
      </c>
      <c r="D28" s="3">
        <v>7.8</v>
      </c>
      <c r="E28" s="3">
        <v>14.2</v>
      </c>
      <c r="F28" s="3">
        <v>19.100000000000001</v>
      </c>
      <c r="G28" s="3">
        <v>20.2</v>
      </c>
      <c r="H28" s="3">
        <v>26.3</v>
      </c>
      <c r="I28" s="3">
        <v>27.9</v>
      </c>
      <c r="J28" s="3">
        <v>23.1</v>
      </c>
      <c r="K28" s="3">
        <v>17.899999999999999</v>
      </c>
      <c r="L28" s="3">
        <v>13.3</v>
      </c>
      <c r="M28" s="3">
        <v>7.4</v>
      </c>
      <c r="N28" s="3">
        <v>187.8</v>
      </c>
      <c r="O28">
        <f t="shared" si="0"/>
        <v>15.65</v>
      </c>
    </row>
    <row r="29" spans="1:15" x14ac:dyDescent="0.2">
      <c r="A29" s="2">
        <v>1986</v>
      </c>
      <c r="B29" s="3">
        <v>4.5</v>
      </c>
      <c r="C29" s="3">
        <v>4.3</v>
      </c>
      <c r="D29" s="3">
        <v>7.8</v>
      </c>
      <c r="E29" s="3">
        <v>13.9</v>
      </c>
      <c r="F29" s="3">
        <v>17.899999999999999</v>
      </c>
      <c r="G29" s="3">
        <v>21.1</v>
      </c>
      <c r="H29" s="3">
        <v>23.9</v>
      </c>
      <c r="I29" s="3">
        <v>26.8</v>
      </c>
      <c r="J29" s="3">
        <v>23.7</v>
      </c>
      <c r="K29" s="3">
        <v>17.100000000000001</v>
      </c>
      <c r="L29" s="3">
        <v>12.3</v>
      </c>
      <c r="M29" s="3">
        <v>8.5</v>
      </c>
      <c r="N29" s="3">
        <v>181.8</v>
      </c>
      <c r="O29">
        <f t="shared" si="0"/>
        <v>15.15</v>
      </c>
    </row>
    <row r="30" spans="1:15" x14ac:dyDescent="0.2">
      <c r="A30" s="2">
        <v>1987</v>
      </c>
      <c r="B30" s="3">
        <v>5.8</v>
      </c>
      <c r="C30" s="3">
        <v>6.8</v>
      </c>
      <c r="D30" s="3">
        <v>9.3000000000000007</v>
      </c>
      <c r="E30" s="3">
        <v>14.4</v>
      </c>
      <c r="F30" s="3">
        <v>19.3</v>
      </c>
      <c r="G30" s="3">
        <v>22.1</v>
      </c>
      <c r="H30" s="3">
        <v>27</v>
      </c>
      <c r="I30" s="3">
        <v>27.3</v>
      </c>
      <c r="J30" s="3">
        <v>23.3</v>
      </c>
      <c r="K30" s="3">
        <v>18.899999999999999</v>
      </c>
      <c r="L30" s="3">
        <v>12.8</v>
      </c>
      <c r="M30" s="3">
        <v>8.1</v>
      </c>
      <c r="N30" s="3">
        <v>195.10000000000002</v>
      </c>
      <c r="O30">
        <f t="shared" si="0"/>
        <v>16.258333333333336</v>
      </c>
    </row>
    <row r="31" spans="1:15" x14ac:dyDescent="0.2">
      <c r="A31" s="2">
        <v>1988</v>
      </c>
      <c r="B31" s="3">
        <v>7.7</v>
      </c>
      <c r="C31" s="3">
        <v>4.9000000000000004</v>
      </c>
      <c r="D31" s="3">
        <v>8.4</v>
      </c>
      <c r="E31" s="3">
        <v>14.3</v>
      </c>
      <c r="F31" s="3">
        <v>18.2</v>
      </c>
      <c r="G31" s="3">
        <v>22.3</v>
      </c>
      <c r="H31" s="3">
        <v>22.4</v>
      </c>
      <c r="I31" s="3">
        <v>27</v>
      </c>
      <c r="J31" s="3">
        <v>22.8</v>
      </c>
      <c r="K31" s="3">
        <v>17.5</v>
      </c>
      <c r="L31" s="3">
        <v>11.4</v>
      </c>
      <c r="M31" s="3">
        <v>8.4</v>
      </c>
      <c r="N31" s="3">
        <v>185.3</v>
      </c>
      <c r="O31">
        <f t="shared" si="0"/>
        <v>15.441666666666668</v>
      </c>
    </row>
    <row r="32" spans="1:15" x14ac:dyDescent="0.2">
      <c r="A32" s="2">
        <v>1989</v>
      </c>
      <c r="B32" s="3">
        <v>8.1</v>
      </c>
      <c r="C32" s="3">
        <v>7.5</v>
      </c>
      <c r="D32" s="3">
        <v>9.6</v>
      </c>
      <c r="E32" s="3">
        <v>15.6</v>
      </c>
      <c r="F32" s="3">
        <v>17.7</v>
      </c>
      <c r="G32" s="3">
        <v>20.7</v>
      </c>
      <c r="H32" s="3">
        <v>24.1</v>
      </c>
      <c r="I32" s="3">
        <v>27.1</v>
      </c>
      <c r="J32" s="3">
        <v>25.2</v>
      </c>
      <c r="K32" s="3">
        <v>17.5</v>
      </c>
      <c r="L32" s="3">
        <v>14.2</v>
      </c>
      <c r="M32" s="3">
        <v>9.1999999999999993</v>
      </c>
      <c r="N32" s="3">
        <v>196.49999999999997</v>
      </c>
      <c r="O32">
        <f t="shared" si="0"/>
        <v>16.374999999999996</v>
      </c>
    </row>
    <row r="33" spans="1:15" x14ac:dyDescent="0.2">
      <c r="A33" s="2">
        <v>1990</v>
      </c>
      <c r="B33" s="3">
        <v>5</v>
      </c>
      <c r="C33" s="3">
        <v>7.8</v>
      </c>
      <c r="D33" s="3">
        <v>10.6</v>
      </c>
      <c r="E33" s="3">
        <v>14.7</v>
      </c>
      <c r="F33" s="3">
        <v>19.2</v>
      </c>
      <c r="G33" s="3">
        <v>23.5</v>
      </c>
      <c r="H33" s="3">
        <v>25.7</v>
      </c>
      <c r="I33" s="3">
        <v>28.6</v>
      </c>
      <c r="J33" s="3">
        <v>24.8</v>
      </c>
      <c r="K33" s="3">
        <v>19.2</v>
      </c>
      <c r="L33" s="3">
        <v>15.1</v>
      </c>
      <c r="M33" s="3">
        <v>10</v>
      </c>
      <c r="N33" s="3">
        <v>204.2</v>
      </c>
      <c r="O33">
        <f t="shared" si="0"/>
        <v>17.016666666666666</v>
      </c>
    </row>
    <row r="34" spans="1:15" x14ac:dyDescent="0.2">
      <c r="A34" s="2">
        <v>1991</v>
      </c>
      <c r="B34" s="3">
        <v>6.3</v>
      </c>
      <c r="C34" s="3">
        <v>6.5</v>
      </c>
      <c r="D34" s="3">
        <v>9.5</v>
      </c>
      <c r="E34" s="3">
        <v>15.4</v>
      </c>
      <c r="F34" s="3">
        <v>18.8</v>
      </c>
      <c r="G34" s="3">
        <v>23.6</v>
      </c>
      <c r="H34" s="3">
        <v>26.7</v>
      </c>
      <c r="I34" s="3">
        <v>25.5</v>
      </c>
      <c r="J34" s="3">
        <v>23.9</v>
      </c>
      <c r="K34" s="3">
        <v>18.100000000000001</v>
      </c>
      <c r="L34" s="3">
        <v>13</v>
      </c>
      <c r="M34" s="3">
        <v>9.1999999999999993</v>
      </c>
      <c r="N34" s="3">
        <v>196.5</v>
      </c>
      <c r="O34">
        <f t="shared" si="0"/>
        <v>16.375</v>
      </c>
    </row>
    <row r="35" spans="1:15" x14ac:dyDescent="0.2">
      <c r="A35" s="2">
        <v>1992</v>
      </c>
      <c r="B35" s="3">
        <v>6.8</v>
      </c>
      <c r="C35" s="3">
        <v>6.9</v>
      </c>
      <c r="D35" s="3">
        <v>9.6999999999999993</v>
      </c>
      <c r="E35" s="3">
        <v>15.1</v>
      </c>
      <c r="F35" s="3">
        <v>17.3</v>
      </c>
      <c r="G35" s="3">
        <v>20.6</v>
      </c>
      <c r="H35" s="3">
        <v>25.5</v>
      </c>
      <c r="I35" s="3">
        <v>27</v>
      </c>
      <c r="J35" s="3">
        <v>23.3</v>
      </c>
      <c r="K35" s="3">
        <v>17.3</v>
      </c>
      <c r="L35" s="3">
        <v>13</v>
      </c>
      <c r="M35" s="3">
        <v>9.4</v>
      </c>
      <c r="N35" s="3">
        <v>191.90000000000003</v>
      </c>
      <c r="O35">
        <f t="shared" si="0"/>
        <v>15.991666666666669</v>
      </c>
    </row>
    <row r="36" spans="1:15" x14ac:dyDescent="0.2">
      <c r="A36" s="2">
        <v>1993</v>
      </c>
      <c r="B36" s="3">
        <v>6.2</v>
      </c>
      <c r="C36" s="3">
        <v>7.7</v>
      </c>
      <c r="D36" s="3">
        <v>8.6999999999999993</v>
      </c>
      <c r="E36" s="3">
        <v>13.4</v>
      </c>
      <c r="F36" s="3">
        <v>18.100000000000001</v>
      </c>
      <c r="G36" s="3">
        <v>21.7</v>
      </c>
      <c r="H36" s="3">
        <v>22.5</v>
      </c>
      <c r="I36" s="3">
        <v>24.8</v>
      </c>
      <c r="J36" s="3">
        <v>22.9</v>
      </c>
      <c r="K36" s="3">
        <v>17.5</v>
      </c>
      <c r="L36" s="3">
        <v>14.1</v>
      </c>
      <c r="M36" s="3">
        <v>8.5</v>
      </c>
      <c r="N36" s="3">
        <v>186.1</v>
      </c>
      <c r="O36">
        <f t="shared" si="0"/>
        <v>15.508333333333333</v>
      </c>
    </row>
    <row r="37" spans="1:15" x14ac:dyDescent="0.2">
      <c r="A37" s="2">
        <v>1994</v>
      </c>
      <c r="B37" s="3">
        <v>5.5</v>
      </c>
      <c r="C37" s="3">
        <v>6.6</v>
      </c>
      <c r="D37" s="3">
        <v>8.1</v>
      </c>
      <c r="E37" s="3">
        <v>15.8</v>
      </c>
      <c r="F37" s="3">
        <v>19.5</v>
      </c>
      <c r="G37" s="3">
        <v>22.4</v>
      </c>
      <c r="H37" s="3">
        <v>28.3</v>
      </c>
      <c r="I37" s="3">
        <v>28.9</v>
      </c>
      <c r="J37" s="3">
        <v>24.8</v>
      </c>
      <c r="K37" s="3">
        <v>20.2</v>
      </c>
      <c r="L37" s="3">
        <v>13.4</v>
      </c>
      <c r="M37" s="3">
        <v>9</v>
      </c>
      <c r="N37" s="3">
        <v>202.5</v>
      </c>
      <c r="O37">
        <f t="shared" si="0"/>
        <v>16.875</v>
      </c>
    </row>
    <row r="38" spans="1:15" x14ac:dyDescent="0.2">
      <c r="A38" s="2">
        <v>1995</v>
      </c>
      <c r="B38" s="3">
        <v>6.3</v>
      </c>
      <c r="C38" s="3">
        <v>6.5</v>
      </c>
      <c r="D38" s="3">
        <v>8.9</v>
      </c>
      <c r="E38" s="3">
        <v>15</v>
      </c>
      <c r="F38" s="3">
        <v>19.100000000000001</v>
      </c>
      <c r="G38" s="3">
        <v>20.399999999999999</v>
      </c>
      <c r="H38" s="3">
        <v>26.4</v>
      </c>
      <c r="I38" s="3">
        <v>29.4</v>
      </c>
      <c r="J38" s="3">
        <v>23.7</v>
      </c>
      <c r="K38" s="3">
        <v>19.5</v>
      </c>
      <c r="L38" s="3">
        <v>12.7</v>
      </c>
      <c r="M38" s="3">
        <v>7.7</v>
      </c>
      <c r="N38" s="3">
        <v>195.59999999999997</v>
      </c>
      <c r="O38">
        <f t="shared" si="0"/>
        <v>16.299999999999997</v>
      </c>
    </row>
    <row r="39" spans="1:15" x14ac:dyDescent="0.2">
      <c r="A39" s="2">
        <v>1996</v>
      </c>
      <c r="B39" s="3">
        <v>6.6</v>
      </c>
      <c r="C39" s="3">
        <v>5.4</v>
      </c>
      <c r="D39" s="3">
        <v>9.1999999999999993</v>
      </c>
      <c r="E39" s="3">
        <v>12.7</v>
      </c>
      <c r="F39" s="3">
        <v>18.100000000000001</v>
      </c>
      <c r="G39" s="3">
        <v>22.6</v>
      </c>
      <c r="H39" s="3">
        <v>26.2</v>
      </c>
      <c r="I39" s="3">
        <v>26</v>
      </c>
      <c r="J39" s="3">
        <v>22.4</v>
      </c>
      <c r="K39" s="3">
        <v>18</v>
      </c>
      <c r="L39" s="3">
        <v>13.2</v>
      </c>
      <c r="M39" s="3">
        <v>9.3000000000000007</v>
      </c>
      <c r="N39" s="3">
        <v>189.7</v>
      </c>
      <c r="O39">
        <f t="shared" si="0"/>
        <v>15.808333333333332</v>
      </c>
    </row>
    <row r="40" spans="1:15" x14ac:dyDescent="0.2">
      <c r="A40" s="2">
        <v>1997</v>
      </c>
      <c r="B40" s="3">
        <v>6.8</v>
      </c>
      <c r="C40" s="3">
        <v>7</v>
      </c>
      <c r="D40" s="3">
        <v>10.5</v>
      </c>
      <c r="E40" s="3">
        <v>15.2</v>
      </c>
      <c r="F40" s="3">
        <v>19.2</v>
      </c>
      <c r="G40" s="3">
        <v>22.7</v>
      </c>
      <c r="H40" s="3">
        <v>26.6</v>
      </c>
      <c r="I40" s="3">
        <v>27</v>
      </c>
      <c r="J40" s="3">
        <v>22.9</v>
      </c>
      <c r="K40" s="3">
        <v>18.7</v>
      </c>
      <c r="L40" s="3">
        <v>14.3</v>
      </c>
      <c r="M40" s="3">
        <v>9.1999999999999993</v>
      </c>
      <c r="N40" s="3">
        <v>200.1</v>
      </c>
      <c r="O40">
        <f t="shared" si="0"/>
        <v>16.675000000000001</v>
      </c>
    </row>
    <row r="41" spans="1:15" x14ac:dyDescent="0.2">
      <c r="A41" s="2">
        <v>1998</v>
      </c>
      <c r="B41" s="3">
        <v>5.3</v>
      </c>
      <c r="C41" s="3">
        <v>7</v>
      </c>
      <c r="D41" s="3">
        <v>10.1</v>
      </c>
      <c r="E41" s="3">
        <v>16.3</v>
      </c>
      <c r="F41" s="3">
        <v>20.5</v>
      </c>
      <c r="G41" s="3">
        <v>21.5</v>
      </c>
      <c r="H41" s="3">
        <v>25.3</v>
      </c>
      <c r="I41" s="3">
        <v>27.2</v>
      </c>
      <c r="J41" s="3">
        <v>24.4</v>
      </c>
      <c r="K41" s="3">
        <v>20.100000000000001</v>
      </c>
      <c r="L41" s="3">
        <v>13.9</v>
      </c>
      <c r="M41" s="3">
        <v>9</v>
      </c>
      <c r="N41" s="3">
        <v>200.6</v>
      </c>
      <c r="O41">
        <f t="shared" si="0"/>
        <v>16.716666666666665</v>
      </c>
    </row>
    <row r="42" spans="1:15" x14ac:dyDescent="0.2">
      <c r="A42" s="2">
        <v>1999</v>
      </c>
      <c r="B42" s="3">
        <v>6.6</v>
      </c>
      <c r="C42" s="3">
        <v>6.7</v>
      </c>
      <c r="D42" s="3">
        <v>10.1</v>
      </c>
      <c r="E42" s="3">
        <v>15</v>
      </c>
      <c r="F42" s="3">
        <v>19.899999999999999</v>
      </c>
      <c r="G42" s="3">
        <v>22.8</v>
      </c>
      <c r="H42" s="3">
        <v>25.9</v>
      </c>
      <c r="I42" s="3">
        <v>28.5</v>
      </c>
      <c r="J42" s="3">
        <v>26.2</v>
      </c>
      <c r="K42" s="3">
        <v>19.5</v>
      </c>
      <c r="L42" s="3">
        <v>14.2</v>
      </c>
      <c r="M42" s="3">
        <v>9</v>
      </c>
      <c r="N42" s="3">
        <v>204.39999999999998</v>
      </c>
      <c r="O42">
        <f t="shared" si="0"/>
        <v>17.033333333333331</v>
      </c>
    </row>
    <row r="43" spans="1:15" x14ac:dyDescent="0.2">
      <c r="A43" s="2">
        <v>2000</v>
      </c>
      <c r="B43" s="3">
        <v>7.6</v>
      </c>
      <c r="C43" s="3">
        <v>6</v>
      </c>
      <c r="D43" s="3">
        <v>9.4</v>
      </c>
      <c r="E43" s="3">
        <v>14.5</v>
      </c>
      <c r="F43" s="3">
        <v>19.8</v>
      </c>
      <c r="G43" s="3">
        <v>22.5</v>
      </c>
      <c r="H43" s="3">
        <v>27.7</v>
      </c>
      <c r="I43" s="3">
        <v>28.3</v>
      </c>
      <c r="J43" s="3">
        <v>25.6</v>
      </c>
      <c r="K43" s="3">
        <v>18.8</v>
      </c>
      <c r="L43" s="3">
        <v>13.3</v>
      </c>
      <c r="M43" s="3">
        <v>8.8000000000000007</v>
      </c>
      <c r="N43" s="3">
        <v>202.30000000000004</v>
      </c>
      <c r="O43">
        <f t="shared" si="0"/>
        <v>16.858333333333338</v>
      </c>
    </row>
    <row r="44" spans="1:15" x14ac:dyDescent="0.2">
      <c r="A44" s="2">
        <v>2001</v>
      </c>
      <c r="B44" s="3">
        <v>4.9000000000000004</v>
      </c>
      <c r="C44" s="3">
        <v>6.6</v>
      </c>
      <c r="D44" s="3">
        <v>9.8000000000000007</v>
      </c>
      <c r="E44" s="3">
        <v>15.7</v>
      </c>
      <c r="F44" s="3">
        <v>19.5</v>
      </c>
      <c r="G44" s="3">
        <v>23.1</v>
      </c>
      <c r="H44" s="3">
        <v>28.5</v>
      </c>
      <c r="I44" s="3">
        <v>26.4</v>
      </c>
      <c r="J44" s="3">
        <v>23.2</v>
      </c>
      <c r="K44" s="3">
        <v>18.7</v>
      </c>
      <c r="L44" s="3">
        <v>13.1</v>
      </c>
      <c r="M44" s="3">
        <v>8.4</v>
      </c>
      <c r="N44" s="3">
        <v>197.89999999999998</v>
      </c>
      <c r="O44">
        <f t="shared" si="0"/>
        <v>16.491666666666664</v>
      </c>
    </row>
    <row r="45" spans="1:15" x14ac:dyDescent="0.2">
      <c r="A45" s="2">
        <v>2002</v>
      </c>
      <c r="B45" s="3">
        <v>7.4</v>
      </c>
      <c r="C45" s="3">
        <v>7.9</v>
      </c>
      <c r="D45" s="3">
        <v>12.2</v>
      </c>
      <c r="E45" s="3">
        <v>16.100000000000001</v>
      </c>
      <c r="F45" s="3">
        <v>18.399999999999999</v>
      </c>
      <c r="G45" s="3">
        <v>21.6</v>
      </c>
      <c r="H45" s="3">
        <v>28</v>
      </c>
      <c r="I45" s="3">
        <v>28</v>
      </c>
      <c r="J45" s="3">
        <v>23.1</v>
      </c>
      <c r="K45" s="3">
        <v>19</v>
      </c>
      <c r="L45" s="3">
        <v>11.6</v>
      </c>
      <c r="M45" s="3">
        <v>7.2</v>
      </c>
      <c r="N45" s="3">
        <v>200.49999999999997</v>
      </c>
      <c r="O45">
        <f t="shared" si="0"/>
        <v>16.708333333333332</v>
      </c>
    </row>
    <row r="46" spans="1:15" x14ac:dyDescent="0.2">
      <c r="A46" s="2">
        <v>2003</v>
      </c>
      <c r="B46" s="3">
        <v>5.5</v>
      </c>
      <c r="C46" s="3">
        <v>6.4</v>
      </c>
      <c r="D46" s="3">
        <v>8.6999999999999993</v>
      </c>
      <c r="E46" s="3">
        <v>15.1</v>
      </c>
      <c r="F46" s="3">
        <v>18.8</v>
      </c>
      <c r="G46" s="3">
        <v>23.2</v>
      </c>
      <c r="H46" s="3">
        <v>22.8</v>
      </c>
      <c r="I46" s="3">
        <v>26</v>
      </c>
      <c r="J46" s="3">
        <v>24.2</v>
      </c>
      <c r="K46" s="3">
        <v>17.8</v>
      </c>
      <c r="L46" s="3">
        <v>14.4</v>
      </c>
      <c r="M46" s="3">
        <v>9.1999999999999993</v>
      </c>
      <c r="N46" s="3">
        <v>192.1</v>
      </c>
      <c r="O46">
        <f t="shared" si="0"/>
        <v>16.008333333333333</v>
      </c>
    </row>
    <row r="47" spans="1:15" x14ac:dyDescent="0.2">
      <c r="A47" s="2">
        <v>2004</v>
      </c>
      <c r="B47" s="3">
        <v>6.3</v>
      </c>
      <c r="C47" s="3">
        <v>8.5</v>
      </c>
      <c r="D47" s="3">
        <v>9.8000000000000007</v>
      </c>
      <c r="E47" s="3">
        <v>16.399999999999999</v>
      </c>
      <c r="F47" s="3">
        <v>19.600000000000001</v>
      </c>
      <c r="G47" s="3">
        <v>23.7</v>
      </c>
      <c r="H47" s="3">
        <v>28.5</v>
      </c>
      <c r="I47" s="3">
        <v>27.2</v>
      </c>
      <c r="J47" s="3">
        <v>25.1</v>
      </c>
      <c r="K47" s="3">
        <v>17.5</v>
      </c>
      <c r="L47" s="3">
        <v>15.6</v>
      </c>
      <c r="M47" s="3">
        <v>9.9</v>
      </c>
      <c r="N47" s="3">
        <v>208.1</v>
      </c>
      <c r="O47">
        <f t="shared" si="0"/>
        <v>17.341666666666665</v>
      </c>
    </row>
    <row r="48" spans="1:15" x14ac:dyDescent="0.2">
      <c r="A48" s="2">
        <v>2005</v>
      </c>
      <c r="B48" s="3">
        <v>6.1</v>
      </c>
      <c r="C48" s="3">
        <v>6.2</v>
      </c>
      <c r="D48" s="3">
        <v>9</v>
      </c>
      <c r="E48" s="3">
        <v>15.1</v>
      </c>
      <c r="F48" s="3">
        <v>17.7</v>
      </c>
      <c r="G48" s="3">
        <v>23.2</v>
      </c>
      <c r="H48" s="3">
        <v>25.6</v>
      </c>
      <c r="I48" s="3">
        <v>28.1</v>
      </c>
      <c r="J48" s="3">
        <v>24.7</v>
      </c>
      <c r="K48" s="3">
        <v>19.2</v>
      </c>
      <c r="L48" s="3">
        <v>13.3</v>
      </c>
      <c r="M48" s="3">
        <v>6.4</v>
      </c>
      <c r="N48" s="3">
        <v>194.6</v>
      </c>
      <c r="O48">
        <f t="shared" si="0"/>
        <v>16.216666666666665</v>
      </c>
    </row>
    <row r="49" spans="1:15" x14ac:dyDescent="0.2">
      <c r="A49" s="2">
        <v>2006</v>
      </c>
      <c r="B49" s="3">
        <v>5.0999999999999996</v>
      </c>
      <c r="C49" s="3">
        <v>6.7</v>
      </c>
      <c r="D49" s="3">
        <v>9.8000000000000007</v>
      </c>
      <c r="E49" s="3">
        <v>13.6</v>
      </c>
      <c r="F49" s="3">
        <v>19</v>
      </c>
      <c r="G49" s="3">
        <v>22.5</v>
      </c>
      <c r="H49" s="3">
        <v>25.6</v>
      </c>
      <c r="I49" s="3">
        <v>27.5</v>
      </c>
      <c r="J49" s="3">
        <v>23.5</v>
      </c>
      <c r="K49" s="3">
        <v>19.5</v>
      </c>
      <c r="L49" s="3">
        <v>14.4</v>
      </c>
      <c r="M49" s="3">
        <v>9.5</v>
      </c>
      <c r="N49" s="3">
        <v>196.70000000000002</v>
      </c>
      <c r="O49">
        <f t="shared" si="0"/>
        <v>16.391666666666669</v>
      </c>
    </row>
    <row r="50" spans="1:15" x14ac:dyDescent="0.2">
      <c r="A50" s="2">
        <v>2007</v>
      </c>
      <c r="B50" s="3">
        <v>7.6</v>
      </c>
      <c r="C50" s="3">
        <v>8.6</v>
      </c>
      <c r="D50" s="3">
        <v>10.8</v>
      </c>
      <c r="E50" s="3">
        <v>13.7</v>
      </c>
      <c r="F50" s="3">
        <v>19.8</v>
      </c>
      <c r="G50" s="3">
        <v>23.2</v>
      </c>
      <c r="H50" s="3">
        <v>24.4</v>
      </c>
      <c r="I50" s="3">
        <v>29</v>
      </c>
      <c r="J50" s="3">
        <v>25.2</v>
      </c>
      <c r="K50" s="3">
        <v>19</v>
      </c>
      <c r="L50" s="3">
        <v>13.3</v>
      </c>
      <c r="M50" s="3">
        <v>9</v>
      </c>
      <c r="N50" s="3">
        <v>203.6</v>
      </c>
      <c r="O50">
        <f t="shared" si="0"/>
        <v>16.966666666666665</v>
      </c>
    </row>
    <row r="51" spans="1:15" x14ac:dyDescent="0.2">
      <c r="A51" s="2">
        <v>2008</v>
      </c>
      <c r="B51" s="3">
        <v>5.9</v>
      </c>
      <c r="C51" s="3">
        <v>5.5</v>
      </c>
      <c r="D51" s="3">
        <v>10.7</v>
      </c>
      <c r="E51" s="3">
        <v>14.7</v>
      </c>
      <c r="F51" s="3">
        <v>18.5</v>
      </c>
      <c r="G51" s="3">
        <v>21.3</v>
      </c>
      <c r="H51" s="3">
        <v>27</v>
      </c>
      <c r="I51" s="3">
        <v>26.8</v>
      </c>
      <c r="J51" s="3">
        <v>24.4</v>
      </c>
      <c r="K51" s="3">
        <v>19.399999999999999</v>
      </c>
      <c r="L51" s="3">
        <v>13.1</v>
      </c>
      <c r="M51" s="3">
        <v>9.8000000000000007</v>
      </c>
      <c r="N51" s="3">
        <v>197.10000000000002</v>
      </c>
      <c r="O51">
        <f t="shared" si="0"/>
        <v>16.425000000000001</v>
      </c>
    </row>
    <row r="52" spans="1:15" x14ac:dyDescent="0.2">
      <c r="A52" s="2">
        <v>2009</v>
      </c>
      <c r="B52" s="3">
        <v>6.8</v>
      </c>
      <c r="C52" s="3">
        <v>7.8</v>
      </c>
      <c r="D52" s="3">
        <v>10</v>
      </c>
      <c r="E52" s="3">
        <v>15.7</v>
      </c>
      <c r="F52" s="3">
        <v>20.100000000000001</v>
      </c>
      <c r="G52" s="3">
        <v>22.5</v>
      </c>
      <c r="H52" s="3">
        <v>26.3</v>
      </c>
      <c r="I52" s="3">
        <v>26.6</v>
      </c>
      <c r="J52" s="3">
        <v>23</v>
      </c>
      <c r="K52" s="3">
        <v>19</v>
      </c>
      <c r="L52" s="3">
        <v>13.5</v>
      </c>
      <c r="M52" s="3">
        <v>9</v>
      </c>
      <c r="N52" s="3">
        <v>200.3</v>
      </c>
      <c r="O52">
        <f t="shared" si="0"/>
        <v>16.691666666666666</v>
      </c>
    </row>
    <row r="53" spans="1:15" x14ac:dyDescent="0.2">
      <c r="A53" s="2">
        <v>2010</v>
      </c>
      <c r="B53" s="3">
        <v>7</v>
      </c>
      <c r="C53" s="3">
        <v>6.5</v>
      </c>
      <c r="D53" s="3">
        <v>9.1</v>
      </c>
      <c r="E53" s="3">
        <v>12.4</v>
      </c>
      <c r="F53" s="3">
        <v>19</v>
      </c>
      <c r="G53" s="3">
        <v>23.6</v>
      </c>
      <c r="H53" s="3">
        <v>28</v>
      </c>
      <c r="I53" s="3">
        <v>29.6</v>
      </c>
      <c r="J53" s="3">
        <v>25.1</v>
      </c>
      <c r="K53" s="3">
        <v>18.899999999999999</v>
      </c>
      <c r="L53" s="3">
        <v>13.5</v>
      </c>
      <c r="M53" s="3">
        <v>9.9</v>
      </c>
      <c r="N53" s="3">
        <v>202.6</v>
      </c>
      <c r="O53">
        <f t="shared" si="0"/>
        <v>16.883333333333333</v>
      </c>
    </row>
    <row r="54" spans="1:15" x14ac:dyDescent="0.2">
      <c r="A54" s="2">
        <v>2011</v>
      </c>
      <c r="B54" s="3">
        <v>5.0999999999999996</v>
      </c>
      <c r="C54" s="3">
        <v>7</v>
      </c>
      <c r="D54" s="3">
        <v>8.1</v>
      </c>
      <c r="E54" s="3">
        <v>14.5</v>
      </c>
      <c r="F54" s="3">
        <v>18.5</v>
      </c>
      <c r="G54" s="3">
        <v>22.8</v>
      </c>
      <c r="H54" s="3">
        <v>27.3</v>
      </c>
      <c r="I54" s="3">
        <v>27.5</v>
      </c>
      <c r="J54" s="3">
        <v>25.1</v>
      </c>
      <c r="K54" s="3">
        <v>19.5</v>
      </c>
      <c r="L54" s="3">
        <v>14.9</v>
      </c>
      <c r="M54" s="3">
        <v>7.5</v>
      </c>
      <c r="N54" s="3">
        <v>197.8</v>
      </c>
      <c r="O54">
        <f t="shared" si="0"/>
        <v>16.483333333333334</v>
      </c>
    </row>
    <row r="55" spans="1:15" x14ac:dyDescent="0.2">
      <c r="A55" s="2">
        <v>2012</v>
      </c>
      <c r="B55" s="3">
        <v>4.8</v>
      </c>
      <c r="C55" s="3">
        <v>5.4</v>
      </c>
      <c r="D55" s="3">
        <v>8.8000000000000007</v>
      </c>
      <c r="E55" s="3">
        <v>14.5</v>
      </c>
      <c r="F55" s="3">
        <v>19.600000000000001</v>
      </c>
      <c r="G55" s="3">
        <v>21.4</v>
      </c>
      <c r="H55" s="3">
        <v>26.4</v>
      </c>
      <c r="I55" s="3">
        <v>29.1</v>
      </c>
      <c r="J55" s="3">
        <v>26.2</v>
      </c>
      <c r="K55" s="3">
        <v>19.399999999999999</v>
      </c>
      <c r="L55" s="3">
        <v>12.7</v>
      </c>
      <c r="M55" s="3">
        <v>7.3</v>
      </c>
      <c r="N55" s="3">
        <v>195.6</v>
      </c>
      <c r="O55">
        <f t="shared" si="0"/>
        <v>16.3</v>
      </c>
    </row>
    <row r="56" spans="1:15" x14ac:dyDescent="0.2">
      <c r="A56" s="4" t="s">
        <v>10</v>
      </c>
      <c r="B56" s="5">
        <v>287.90000000000009</v>
      </c>
      <c r="C56" s="5">
        <v>312.40000000000003</v>
      </c>
      <c r="D56" s="5">
        <v>456.80000000000007</v>
      </c>
      <c r="E56" s="5">
        <v>733.4000000000002</v>
      </c>
      <c r="F56" s="5">
        <v>957.8</v>
      </c>
      <c r="G56" s="5">
        <v>1120.3000000000004</v>
      </c>
      <c r="H56" s="5">
        <v>1307.2</v>
      </c>
      <c r="I56" s="5">
        <v>1389.7999999999995</v>
      </c>
      <c r="J56" s="5">
        <v>1202.4000000000001</v>
      </c>
      <c r="K56" s="5">
        <v>923.9</v>
      </c>
      <c r="L56" s="5">
        <v>665.09999999999991</v>
      </c>
      <c r="M56" s="5">
        <v>421.29999999999984</v>
      </c>
      <c r="N56" s="5">
        <v>9778.3000000000029</v>
      </c>
    </row>
    <row r="57" spans="1:15" x14ac:dyDescent="0.2">
      <c r="B57">
        <f xml:space="preserve"> $B56/51</f>
        <v>5.6450980392156884</v>
      </c>
      <c r="C57">
        <f xml:space="preserve"> $C56/51</f>
        <v>6.1254901960784318</v>
      </c>
      <c r="D57">
        <f xml:space="preserve"> $D56/51</f>
        <v>8.9568627450980411</v>
      </c>
      <c r="E57">
        <f xml:space="preserve"> $E56/51</f>
        <v>14.380392156862749</v>
      </c>
      <c r="F57">
        <f xml:space="preserve"> $F56/51</f>
        <v>18.780392156862746</v>
      </c>
      <c r="G57">
        <f xml:space="preserve"> $G56/51</f>
        <v>21.966666666666676</v>
      </c>
      <c r="H57">
        <f xml:space="preserve"> $H56/51</f>
        <v>25.631372549019609</v>
      </c>
      <c r="I57">
        <f xml:space="preserve"> $I56/51</f>
        <v>27.250980392156851</v>
      </c>
      <c r="J57">
        <f xml:space="preserve"> $J56/51</f>
        <v>23.576470588235296</v>
      </c>
      <c r="K57">
        <f xml:space="preserve"> $K56/51</f>
        <v>18.115686274509802</v>
      </c>
      <c r="L57">
        <f xml:space="preserve"> $L56/51</f>
        <v>13.041176470588233</v>
      </c>
      <c r="M57">
        <f xml:space="preserve"> $M56/51</f>
        <v>8.2607843137254875</v>
      </c>
      <c r="N57">
        <f xml:space="preserve"> $N56/51</f>
        <v>191.73137254901965</v>
      </c>
    </row>
  </sheetData>
  <phoneticPr fontId="18"/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Tokyo_Temperature_Stat_Graph</vt:lpstr>
      <vt:lpstr>Tokyo_Temperature_Data</vt:lpstr>
      <vt:lpstr>Stat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2017-07-15T01:38:31Z</dcterms:created>
  <dcterms:modified xsi:type="dcterms:W3CDTF">2017-07-27T14:39:27Z</dcterms:modified>
</cp:coreProperties>
</file>